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NKIT TRIPATHI\Desktop\"/>
    </mc:Choice>
  </mc:AlternateContent>
  <xr:revisionPtr revIDLastSave="0" documentId="8_{EEE4B179-8DB1-48D4-A636-63DC7DFAEB98}" xr6:coauthVersionLast="47" xr6:coauthVersionMax="47" xr10:uidLastSave="{00000000-0000-0000-0000-000000000000}"/>
  <bookViews>
    <workbookView xWindow="-108" yWindow="-108" windowWidth="23256" windowHeight="12456" firstSheet="2" activeTab="7" xr2:uid="{8CDCCDAC-B1E2-4452-9EC8-A82A90760332}"/>
  </bookViews>
  <sheets>
    <sheet name="Basic Excel" sheetId="1" r:id="rId1"/>
    <sheet name="Basic Operation" sheetId="2" r:id="rId2"/>
    <sheet name="School Data" sheetId="3" r:id="rId3"/>
    <sheet name="Houses" sheetId="4" r:id="rId4"/>
    <sheet name="Drop Down" sheetId="5" r:id="rId5"/>
    <sheet name="Charts" sheetId="6" r:id="rId6"/>
    <sheet name="VLOOKUP" sheetId="7" r:id="rId7"/>
    <sheet name="Pivot Table" sheetId="8" r:id="rId8"/>
  </sheets>
  <definedNames>
    <definedName name="_xlnm._FilterDatabase" localSheetId="2" hidden="1">'School Data'!$A$3:$I$3</definedName>
    <definedName name="Slicer_Gender">#N/A</definedName>
    <definedName name="Slicer_House">#N/A</definedName>
  </definedNames>
  <calcPr calcId="191029"/>
  <pivotCaches>
    <pivotCache cacheId="12" r:id="rId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7" l="1"/>
  <c r="L6" i="7"/>
  <c r="L7" i="7"/>
  <c r="L8" i="7"/>
  <c r="L4" i="7"/>
  <c r="D6" i="2"/>
  <c r="D7" i="2"/>
  <c r="D8" i="2"/>
  <c r="D9" i="2"/>
  <c r="D10" i="2"/>
  <c r="D5" i="2"/>
  <c r="C6" i="2"/>
  <c r="C7" i="2"/>
  <c r="C8" i="2"/>
  <c r="C9" i="2"/>
  <c r="C10" i="2"/>
  <c r="C5" i="2"/>
  <c r="B6" i="2"/>
  <c r="B7" i="2"/>
  <c r="B8" i="2"/>
  <c r="B9" i="2"/>
  <c r="B10" i="2"/>
  <c r="B5" i="2"/>
  <c r="J6" i="1"/>
  <c r="J7" i="1"/>
  <c r="J8" i="1"/>
  <c r="J9" i="1"/>
  <c r="J5" i="1"/>
  <c r="I6" i="1"/>
  <c r="I7" i="1"/>
  <c r="I8" i="1"/>
  <c r="I9" i="1"/>
  <c r="I5" i="1"/>
  <c r="H6" i="1"/>
  <c r="H7" i="1"/>
  <c r="H8" i="1"/>
  <c r="H9" i="1"/>
  <c r="H5" i="1"/>
</calcChain>
</file>

<file path=xl/sharedStrings.xml><?xml version="1.0" encoding="utf-8"?>
<sst xmlns="http://schemas.openxmlformats.org/spreadsheetml/2006/main" count="545" uniqueCount="130">
  <si>
    <t>S.NO</t>
  </si>
  <si>
    <t>FIRST NAME</t>
  </si>
  <si>
    <t>LAST NAME</t>
  </si>
  <si>
    <t>DOJ</t>
  </si>
  <si>
    <t>SAL-JAN</t>
  </si>
  <si>
    <t>SAL-FEB</t>
  </si>
  <si>
    <t>SAL-MAR</t>
  </si>
  <si>
    <t>SAL TOTAL</t>
  </si>
  <si>
    <t>AVG SAL</t>
  </si>
  <si>
    <t>FULL NAME</t>
  </si>
  <si>
    <t>RAJ</t>
  </si>
  <si>
    <t>ANKIT</t>
  </si>
  <si>
    <t>ADARSH</t>
  </si>
  <si>
    <t>NAMAN</t>
  </si>
  <si>
    <t>SHUBHAM</t>
  </si>
  <si>
    <t>KUMAR</t>
  </si>
  <si>
    <t>TRIPATHI</t>
  </si>
  <si>
    <t>MISHRA</t>
  </si>
  <si>
    <t>PANDEY</t>
  </si>
  <si>
    <t>UPADHYAY</t>
  </si>
  <si>
    <t>EMPLOYEE SALARY DESCRIPTION</t>
  </si>
  <si>
    <t>Numbers</t>
  </si>
  <si>
    <t>ROUND</t>
  </si>
  <si>
    <t>ROUNDUP</t>
  </si>
  <si>
    <t>ROUNDDOWN</t>
  </si>
  <si>
    <t>NUMBERS OPERATION</t>
  </si>
  <si>
    <t>AUTOFILL</t>
  </si>
  <si>
    <t>January</t>
  </si>
  <si>
    <t>February</t>
  </si>
  <si>
    <t>March</t>
  </si>
  <si>
    <t>April</t>
  </si>
  <si>
    <t>May</t>
  </si>
  <si>
    <t>June</t>
  </si>
  <si>
    <t>July</t>
  </si>
  <si>
    <t>August</t>
  </si>
  <si>
    <t>September</t>
  </si>
  <si>
    <t>October</t>
  </si>
  <si>
    <t>November</t>
  </si>
  <si>
    <t>December</t>
  </si>
  <si>
    <t>Monday</t>
  </si>
  <si>
    <t>Tuesday</t>
  </si>
  <si>
    <t>Wednesday</t>
  </si>
  <si>
    <t>Thursday</t>
  </si>
  <si>
    <t>Friday</t>
  </si>
  <si>
    <t>Saturday</t>
  </si>
  <si>
    <t>Sunday</t>
  </si>
  <si>
    <t>Jan</t>
  </si>
  <si>
    <t>Feb</t>
  </si>
  <si>
    <t>Mar</t>
  </si>
  <si>
    <t>Apr</t>
  </si>
  <si>
    <t>Jun</t>
  </si>
  <si>
    <t>Jul</t>
  </si>
  <si>
    <t>Aug</t>
  </si>
  <si>
    <t>Sep</t>
  </si>
  <si>
    <t>Oct</t>
  </si>
  <si>
    <t>Nov</t>
  </si>
  <si>
    <t>Dec</t>
  </si>
  <si>
    <t>Mon</t>
  </si>
  <si>
    <t>Tue</t>
  </si>
  <si>
    <t>Wed</t>
  </si>
  <si>
    <t>Thu</t>
  </si>
  <si>
    <t>Fri</t>
  </si>
  <si>
    <t>Sat</t>
  </si>
  <si>
    <t>Sun</t>
  </si>
  <si>
    <t>RNM School Data</t>
  </si>
  <si>
    <t>Name</t>
  </si>
  <si>
    <t>Gender</t>
  </si>
  <si>
    <t>Age</t>
  </si>
  <si>
    <t>Class</t>
  </si>
  <si>
    <t>House</t>
  </si>
  <si>
    <t>Unit Test 1</t>
  </si>
  <si>
    <t>Unit Test 2</t>
  </si>
  <si>
    <t>Final Test</t>
  </si>
  <si>
    <t>email</t>
  </si>
  <si>
    <t>Abhimanyu</t>
  </si>
  <si>
    <t>M</t>
  </si>
  <si>
    <t>Bhoomi</t>
  </si>
  <si>
    <t>Abhimanyu@mail.com</t>
  </si>
  <si>
    <t>Arjun</t>
  </si>
  <si>
    <t>Vayu</t>
  </si>
  <si>
    <t>Arjun@mail.com</t>
  </si>
  <si>
    <t>Champa</t>
  </si>
  <si>
    <t>F</t>
  </si>
  <si>
    <t>Jal</t>
  </si>
  <si>
    <t>Champa@mail.com</t>
  </si>
  <si>
    <t>Gopal</t>
  </si>
  <si>
    <t>Gopal@mail.com</t>
  </si>
  <si>
    <t>Gopi</t>
  </si>
  <si>
    <t>Agni</t>
  </si>
  <si>
    <t>Gopi@mail.com</t>
  </si>
  <si>
    <t>Hari</t>
  </si>
  <si>
    <t>Hari@mail.com</t>
  </si>
  <si>
    <t>Indu</t>
  </si>
  <si>
    <t>Indu@mail.com</t>
  </si>
  <si>
    <t>Keshav</t>
  </si>
  <si>
    <t>Keshav@mail.com</t>
  </si>
  <si>
    <t>Lalita</t>
  </si>
  <si>
    <t>Lalita@mail.com</t>
  </si>
  <si>
    <t>Madhav</t>
  </si>
  <si>
    <t>Madhav@mail.com</t>
  </si>
  <si>
    <t>RNM</t>
  </si>
  <si>
    <t>RNM@mail.com</t>
  </si>
  <si>
    <t>Sudevi</t>
  </si>
  <si>
    <t>Sudevi@mail.com</t>
  </si>
  <si>
    <t>Visakha</t>
  </si>
  <si>
    <t>Visakha@mail.com</t>
  </si>
  <si>
    <t>Vrinda</t>
  </si>
  <si>
    <t>Vrinda@mail.com</t>
  </si>
  <si>
    <t>Grade</t>
  </si>
  <si>
    <t>A</t>
  </si>
  <si>
    <t>B</t>
  </si>
  <si>
    <t>C</t>
  </si>
  <si>
    <t>Ankit</t>
  </si>
  <si>
    <t>Adarsh</t>
  </si>
  <si>
    <t>Naman</t>
  </si>
  <si>
    <t>Ashutosh</t>
  </si>
  <si>
    <t>Sakshi</t>
  </si>
  <si>
    <t>Kajal</t>
  </si>
  <si>
    <t>Anchal</t>
  </si>
  <si>
    <t>Tripathi</t>
  </si>
  <si>
    <t>Mishra</t>
  </si>
  <si>
    <t>Aditya</t>
  </si>
  <si>
    <t>Yadav</t>
  </si>
  <si>
    <t>Prabhanshu</t>
  </si>
  <si>
    <t>Upadhyaya</t>
  </si>
  <si>
    <t>last name</t>
  </si>
  <si>
    <t>First Name</t>
  </si>
  <si>
    <t>VLOOKUP</t>
  </si>
  <si>
    <t>Row Labels</t>
  </si>
  <si>
    <t>Sum of Final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</si>
</sst>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4" x14ac:knownFonts="1">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0"/>
      <name val="Aptos"/>
      <family val="2"/>
    </font>
    <font>
      <b/>
      <sz val="11"/>
      <color theme="1"/>
      <name val="Arial Narrow"/>
      <family val="2"/>
    </font>
    <font>
      <sz val="8"/>
      <name val="Calibri"/>
      <family val="2"/>
      <scheme val="minor"/>
    </font>
    <font>
      <b/>
      <sz val="16"/>
      <color rgb="FFFF0000"/>
      <name val="Calibri"/>
      <family val="2"/>
      <scheme val="minor"/>
    </font>
    <font>
      <b/>
      <sz val="16"/>
      <color rgb="FFFFFFFF"/>
      <name val="Calibri"/>
      <family val="2"/>
      <scheme val="minor"/>
    </font>
    <font>
      <b/>
      <sz val="11"/>
      <color rgb="FF000000"/>
      <name val="Calibri"/>
      <family val="2"/>
      <scheme val="minor"/>
    </font>
    <font>
      <sz val="11"/>
      <color rgb="FF000000"/>
      <name val="Calibri"/>
      <family val="2"/>
      <scheme val="minor"/>
    </font>
    <font>
      <u/>
      <sz val="11"/>
      <color theme="10"/>
      <name val="Calibri"/>
      <family val="2"/>
      <scheme val="minor"/>
    </font>
    <font>
      <b/>
      <sz val="22"/>
      <color rgb="FFFF0000"/>
      <name val="Calibri"/>
      <family val="2"/>
      <scheme val="minor"/>
    </font>
    <font>
      <b/>
      <sz val="11"/>
      <color rgb="FFFF0000"/>
      <name val="Calibri"/>
      <family val="2"/>
      <scheme val="minor"/>
    </font>
  </fonts>
  <fills count="16">
    <fill>
      <patternFill patternType="none"/>
    </fill>
    <fill>
      <patternFill patternType="gray125"/>
    </fill>
    <fill>
      <patternFill patternType="solid">
        <fgColor theme="8" tint="0.59999389629810485"/>
        <bgColor indexed="64"/>
      </patternFill>
    </fill>
    <fill>
      <patternFill patternType="solid">
        <fgColor theme="1" tint="4.9989318521683403E-2"/>
        <bgColor indexed="64"/>
      </patternFill>
    </fill>
    <fill>
      <patternFill patternType="solid">
        <fgColor theme="5" tint="0.39997558519241921"/>
        <bgColor indexed="64"/>
      </patternFill>
    </fill>
    <fill>
      <patternFill patternType="solid">
        <fgColor theme="2"/>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7"/>
        <bgColor indexed="64"/>
      </patternFill>
    </fill>
    <fill>
      <patternFill patternType="solid">
        <fgColor theme="3"/>
        <bgColor indexed="64"/>
      </patternFill>
    </fill>
    <fill>
      <patternFill patternType="solid">
        <fgColor rgb="FFED7D31"/>
        <bgColor rgb="FF000000"/>
      </patternFill>
    </fill>
    <fill>
      <patternFill patternType="solid">
        <fgColor rgb="FFFFF2CC"/>
        <bgColor rgb="FF000000"/>
      </patternFill>
    </fill>
    <fill>
      <patternFill patternType="solid">
        <fgColor rgb="FFF8F8F8"/>
        <bgColor rgb="FF000000"/>
      </patternFill>
    </fill>
    <fill>
      <patternFill patternType="solid">
        <fgColor theme="1" tint="0.34998626667073579"/>
        <bgColor indexed="64"/>
      </patternFill>
    </fill>
    <fill>
      <patternFill patternType="solid">
        <fgColor theme="4" tint="0.59999389629810485"/>
        <bgColor indexed="64"/>
      </patternFill>
    </fill>
    <fill>
      <patternFill patternType="solid">
        <fgColor theme="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rgb="FF808080"/>
      </left>
      <right style="medium">
        <color rgb="FF808080"/>
      </right>
      <top style="medium">
        <color rgb="FF808080"/>
      </top>
      <bottom style="medium">
        <color rgb="FF808080"/>
      </bottom>
      <diagonal/>
    </border>
    <border>
      <left/>
      <right/>
      <top/>
      <bottom style="medium">
        <color rgb="FF808080"/>
      </bottom>
      <diagonal/>
    </border>
    <border>
      <left style="medium">
        <color rgb="FF808080"/>
      </left>
      <right style="medium">
        <color rgb="FF808080"/>
      </right>
      <top style="medium">
        <color rgb="FF808080"/>
      </top>
      <bottom/>
      <diagonal/>
    </border>
    <border>
      <left/>
      <right style="medium">
        <color rgb="FF808080"/>
      </right>
      <top style="medium">
        <color rgb="FF808080"/>
      </top>
      <bottom style="medium">
        <color rgb="FF808080"/>
      </bottom>
      <diagonal/>
    </border>
    <border>
      <left style="medium">
        <color rgb="FF808080"/>
      </left>
      <right/>
      <top style="medium">
        <color rgb="FF808080"/>
      </top>
      <bottom style="medium">
        <color rgb="FF808080"/>
      </bottom>
      <diagonal/>
    </border>
    <border>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top/>
      <bottom style="medium">
        <color rgb="FF808080"/>
      </bottom>
      <diagonal/>
    </border>
    <border>
      <left/>
      <right style="medium">
        <color rgb="FF808080"/>
      </right>
      <top style="medium">
        <color rgb="FF808080"/>
      </top>
      <bottom/>
      <diagonal/>
    </border>
    <border>
      <left style="medium">
        <color rgb="FF808080"/>
      </left>
      <right/>
      <top style="medium">
        <color rgb="FF808080"/>
      </top>
      <bottom/>
      <diagonal/>
    </border>
  </borders>
  <cellStyleXfs count="2">
    <xf numFmtId="0" fontId="0" fillId="0" borderId="0"/>
    <xf numFmtId="0" fontId="11" fillId="0" borderId="0" applyNumberFormat="0" applyFill="0" applyBorder="0" applyAlignment="0" applyProtection="0"/>
  </cellStyleXfs>
  <cellXfs count="50">
    <xf numFmtId="0" fontId="0" fillId="0" borderId="0" xfId="0"/>
    <xf numFmtId="0" fontId="0" fillId="0" borderId="0" xfId="0" applyAlignment="1"/>
    <xf numFmtId="0" fontId="0" fillId="0" borderId="0" xfId="0" applyAlignment="1">
      <alignment horizontal="center"/>
    </xf>
    <xf numFmtId="0" fontId="2" fillId="2" borderId="1" xfId="0" applyFont="1" applyFill="1" applyBorder="1" applyAlignment="1"/>
    <xf numFmtId="0" fontId="2" fillId="2" borderId="1" xfId="0" applyFont="1" applyFill="1" applyBorder="1" applyAlignment="1">
      <alignment horizontal="center"/>
    </xf>
    <xf numFmtId="164" fontId="2" fillId="2" borderId="1" xfId="0" applyNumberFormat="1" applyFont="1" applyFill="1" applyBorder="1" applyAlignment="1">
      <alignment horizontal="center"/>
    </xf>
    <xf numFmtId="0" fontId="0" fillId="0" borderId="1" xfId="0" applyBorder="1" applyAlignment="1">
      <alignment horizontal="center"/>
    </xf>
    <xf numFmtId="0" fontId="0" fillId="0" borderId="1" xfId="0" applyBorder="1"/>
    <xf numFmtId="164" fontId="0" fillId="0" borderId="1" xfId="0" applyNumberFormat="1" applyBorder="1" applyAlignment="1">
      <alignment horizont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2" fillId="0" borderId="1" xfId="0" applyFont="1" applyBorder="1" applyAlignment="1">
      <alignment horizontal="center"/>
    </xf>
    <xf numFmtId="0" fontId="1" fillId="4" borderId="1" xfId="0" applyFont="1" applyFill="1" applyBorder="1"/>
    <xf numFmtId="0" fontId="5" fillId="5" borderId="0" xfId="0" applyFont="1" applyFill="1" applyAlignment="1">
      <alignment horizontal="center" vertical="center"/>
    </xf>
    <xf numFmtId="0" fontId="7" fillId="5" borderId="0" xfId="0" applyFont="1" applyFill="1" applyAlignment="1">
      <alignment horizontal="center" vertical="center"/>
    </xf>
    <xf numFmtId="0" fontId="2" fillId="6" borderId="8" xfId="0" applyFont="1" applyFill="1" applyBorder="1" applyAlignment="1">
      <alignment horizontal="center"/>
    </xf>
    <xf numFmtId="0" fontId="2" fillId="7" borderId="8" xfId="0" applyFont="1" applyFill="1" applyBorder="1" applyAlignment="1">
      <alignment horizontal="center"/>
    </xf>
    <xf numFmtId="0" fontId="2" fillId="8" borderId="8" xfId="0" applyFont="1" applyFill="1" applyBorder="1" applyAlignment="1">
      <alignment horizontal="center"/>
    </xf>
    <xf numFmtId="0" fontId="2" fillId="9" borderId="8" xfId="0" applyFont="1" applyFill="1" applyBorder="1" applyAlignment="1">
      <alignment horizontal="center"/>
    </xf>
    <xf numFmtId="0" fontId="9" fillId="11" borderId="9" xfId="0" applyFont="1" applyFill="1" applyBorder="1" applyAlignment="1">
      <alignment horizontal="center" vertical="center"/>
    </xf>
    <xf numFmtId="0" fontId="10" fillId="0" borderId="9" xfId="0" applyFont="1" applyBorder="1" applyAlignment="1">
      <alignment horizontal="left"/>
    </xf>
    <xf numFmtId="0" fontId="10" fillId="0" borderId="9" xfId="0" applyFont="1" applyBorder="1" applyAlignment="1">
      <alignment horizontal="center"/>
    </xf>
    <xf numFmtId="0" fontId="10" fillId="12" borderId="9" xfId="0" applyFont="1" applyFill="1" applyBorder="1" applyAlignment="1">
      <alignment horizontal="left"/>
    </xf>
    <xf numFmtId="0" fontId="10" fillId="12" borderId="9" xfId="0" applyFont="1" applyFill="1" applyBorder="1" applyAlignment="1">
      <alignment horizontal="center"/>
    </xf>
    <xf numFmtId="0" fontId="8" fillId="10" borderId="10" xfId="0" applyFont="1" applyFill="1" applyBorder="1" applyAlignment="1">
      <alignment horizontal="center" vertical="center"/>
    </xf>
    <xf numFmtId="0" fontId="8" fillId="10" borderId="0" xfId="0" applyFont="1" applyFill="1" applyBorder="1" applyAlignment="1">
      <alignment horizontal="center" vertical="center"/>
    </xf>
    <xf numFmtId="0" fontId="10" fillId="0" borderId="11" xfId="0" applyFont="1" applyBorder="1" applyAlignment="1">
      <alignment horizontal="center"/>
    </xf>
    <xf numFmtId="0" fontId="10" fillId="12" borderId="12" xfId="0" applyFont="1" applyFill="1" applyBorder="1" applyAlignment="1">
      <alignment horizontal="left"/>
    </xf>
    <xf numFmtId="0" fontId="10" fillId="0" borderId="12" xfId="0" applyFont="1" applyBorder="1" applyAlignment="1">
      <alignment horizontal="left"/>
    </xf>
    <xf numFmtId="0" fontId="10" fillId="12" borderId="13" xfId="0" applyFont="1" applyFill="1" applyBorder="1" applyAlignment="1">
      <alignment horizontal="left"/>
    </xf>
    <xf numFmtId="0" fontId="10" fillId="0" borderId="13" xfId="0" applyFont="1" applyBorder="1" applyAlignment="1">
      <alignment horizontal="left"/>
    </xf>
    <xf numFmtId="0" fontId="9" fillId="11" borderId="14" xfId="0" applyFont="1" applyFill="1" applyBorder="1" applyAlignment="1">
      <alignment horizontal="center" vertical="center"/>
    </xf>
    <xf numFmtId="0" fontId="9" fillId="11" borderId="15" xfId="0" applyFont="1" applyFill="1" applyBorder="1" applyAlignment="1">
      <alignment horizontal="center" vertical="center"/>
    </xf>
    <xf numFmtId="0" fontId="9" fillId="11" borderId="16" xfId="0" applyFont="1" applyFill="1" applyBorder="1" applyAlignment="1">
      <alignment horizontal="center" vertical="center"/>
    </xf>
    <xf numFmtId="0" fontId="10" fillId="0" borderId="17" xfId="0" applyFont="1" applyBorder="1" applyAlignment="1">
      <alignment horizontal="left"/>
    </xf>
    <xf numFmtId="0" fontId="10" fillId="0" borderId="18" xfId="0" applyFont="1" applyBorder="1" applyAlignment="1">
      <alignment horizontal="left"/>
    </xf>
    <xf numFmtId="0" fontId="11" fillId="11" borderId="15" xfId="1" applyFill="1" applyBorder="1" applyAlignment="1">
      <alignment horizontal="center" vertical="center"/>
    </xf>
    <xf numFmtId="0" fontId="2" fillId="0" borderId="0" xfId="0" applyFont="1" applyAlignment="1">
      <alignment horizontal="center" vertical="center"/>
    </xf>
    <xf numFmtId="0" fontId="3" fillId="13" borderId="1" xfId="0" applyFont="1" applyFill="1" applyBorder="1" applyAlignment="1">
      <alignment horizontal="center"/>
    </xf>
    <xf numFmtId="0" fontId="0" fillId="14" borderId="1" xfId="0" applyFill="1" applyBorder="1"/>
    <xf numFmtId="0" fontId="12" fillId="15" borderId="0" xfId="0" applyFont="1" applyFill="1" applyAlignment="1">
      <alignment horizontal="center" vertical="center"/>
    </xf>
    <xf numFmtId="0" fontId="13" fillId="15" borderId="0" xfId="0" applyFont="1" applyFill="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2">
    <cellStyle name="Hyperlink" xfId="1" builtinId="8"/>
    <cellStyle name="Normal" xfId="0" builtinId="0"/>
  </cellStyles>
  <dxfs count="31">
    <dxf>
      <font>
        <b val="0"/>
        <i val="0"/>
        <strike val="0"/>
        <condense val="0"/>
        <extend val="0"/>
        <outline val="0"/>
        <shadow val="0"/>
        <u val="none"/>
        <vertAlign val="baseline"/>
        <sz val="11"/>
        <color rgb="FF000000"/>
        <name val="Calibri"/>
        <family val="2"/>
        <scheme val="minor"/>
      </font>
      <alignment horizontal="left" vertical="bottom" textRotation="0" wrapText="0" indent="0" justifyLastLine="0" shrinkToFit="0" readingOrder="0"/>
      <border diagonalUp="0" diagonalDown="0">
        <left style="medium">
          <color rgb="FF808080"/>
        </left>
        <right/>
        <top style="medium">
          <color rgb="FF808080"/>
        </top>
        <bottom style="medium">
          <color rgb="FF808080"/>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border diagonalUp="0" diagonalDown="0">
        <left style="medium">
          <color rgb="FF808080"/>
        </left>
        <right style="medium">
          <color rgb="FF808080"/>
        </right>
        <top style="medium">
          <color rgb="FF808080"/>
        </top>
        <bottom style="medium">
          <color rgb="FF808080"/>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border diagonalUp="0" diagonalDown="0">
        <left style="medium">
          <color rgb="FF808080"/>
        </left>
        <right style="medium">
          <color rgb="FF808080"/>
        </right>
        <top style="medium">
          <color rgb="FF808080"/>
        </top>
        <bottom style="medium">
          <color rgb="FF808080"/>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border diagonalUp="0" diagonalDown="0">
        <left style="medium">
          <color rgb="FF808080"/>
        </left>
        <right style="medium">
          <color rgb="FF808080"/>
        </right>
        <top style="medium">
          <color rgb="FF808080"/>
        </top>
        <bottom style="medium">
          <color rgb="FF808080"/>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border diagonalUp="0" diagonalDown="0">
        <left style="medium">
          <color rgb="FF808080"/>
        </left>
        <right style="medium">
          <color rgb="FF808080"/>
        </right>
        <top style="medium">
          <color rgb="FF808080"/>
        </top>
        <bottom style="medium">
          <color rgb="FF808080"/>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border diagonalUp="0" diagonalDown="0">
        <left style="medium">
          <color rgb="FF808080"/>
        </left>
        <right style="medium">
          <color rgb="FF808080"/>
        </right>
        <top style="medium">
          <color rgb="FF808080"/>
        </top>
        <bottom style="medium">
          <color rgb="FF808080"/>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border diagonalUp="0" diagonalDown="0">
        <left style="medium">
          <color rgb="FF808080"/>
        </left>
        <right style="medium">
          <color rgb="FF808080"/>
        </right>
        <top style="medium">
          <color rgb="FF808080"/>
        </top>
        <bottom style="medium">
          <color rgb="FF808080"/>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border diagonalUp="0" diagonalDown="0">
        <left style="medium">
          <color rgb="FF808080"/>
        </left>
        <right style="medium">
          <color rgb="FF808080"/>
        </right>
        <top style="medium">
          <color rgb="FF808080"/>
        </top>
        <bottom style="medium">
          <color rgb="FF808080"/>
        </bottom>
        <vertical/>
        <horizontal/>
      </border>
    </dxf>
    <dxf>
      <font>
        <b val="0"/>
        <i val="0"/>
        <strike val="0"/>
        <condense val="0"/>
        <extend val="0"/>
        <outline val="0"/>
        <shadow val="0"/>
        <u val="none"/>
        <vertAlign val="baseline"/>
        <sz val="11"/>
        <color rgb="FF000000"/>
        <name val="Calibri"/>
        <family val="2"/>
        <scheme val="minor"/>
      </font>
      <alignment horizontal="left" vertical="bottom" textRotation="0" wrapText="0" indent="0" justifyLastLine="0" shrinkToFit="0" readingOrder="0"/>
      <border diagonalUp="0" diagonalDown="0">
        <left/>
        <right style="medium">
          <color rgb="FF808080"/>
        </right>
        <top style="medium">
          <color rgb="FF808080"/>
        </top>
        <bottom style="medium">
          <color rgb="FF808080"/>
        </bottom>
        <vertical/>
        <horizontal/>
      </border>
    </dxf>
    <dxf>
      <border outline="0">
        <top style="medium">
          <color rgb="FF808080"/>
        </top>
      </border>
    </dxf>
    <dxf>
      <border outline="0">
        <bottom style="medium">
          <color rgb="FF808080"/>
        </bottom>
      </border>
    </dxf>
    <dxf>
      <border outline="0">
        <left style="medium">
          <color rgb="FF808080"/>
        </left>
        <right style="medium">
          <color rgb="FF808080"/>
        </right>
        <top style="medium">
          <color rgb="FF808080"/>
        </top>
        <bottom style="medium">
          <color rgb="FF808080"/>
        </bottom>
      </border>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rgb="FF000000"/>
        <name val="Calibri"/>
        <family val="2"/>
        <scheme val="minor"/>
      </font>
      <fill>
        <patternFill patternType="solid">
          <fgColor rgb="FF000000"/>
          <bgColor rgb="FFFFF2CC"/>
        </patternFill>
      </fill>
      <alignment horizontal="center" vertical="center" textRotation="0" wrapText="0" indent="0" justifyLastLine="0" shrinkToFit="0" readingOrder="0"/>
      <border diagonalUp="0" diagonalDown="0" outline="0">
        <left style="medium">
          <color rgb="FF808080"/>
        </left>
        <right style="medium">
          <color rgb="FF808080"/>
        </right>
        <top/>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border diagonalUp="0" diagonalDown="0">
        <left style="medium">
          <color rgb="FF808080"/>
        </left>
        <right style="medium">
          <color rgb="FF808080"/>
        </right>
        <top style="medium">
          <color rgb="FF808080"/>
        </top>
        <bottom style="medium">
          <color rgb="FF808080"/>
        </bottom>
        <vertical/>
        <horizontal/>
      </border>
    </dxf>
    <dxf>
      <font>
        <b val="0"/>
        <i val="0"/>
        <strike val="0"/>
        <condense val="0"/>
        <extend val="0"/>
        <outline val="0"/>
        <shadow val="0"/>
        <u val="none"/>
        <vertAlign val="baseline"/>
        <sz val="11"/>
        <color rgb="FF000000"/>
        <name val="Calibri"/>
        <family val="2"/>
        <scheme val="minor"/>
      </font>
      <alignment horizontal="left" vertical="bottom" textRotation="0" wrapText="0" indent="0" justifyLastLine="0" shrinkToFit="0" readingOrder="0"/>
      <border diagonalUp="0" diagonalDown="0">
        <left style="medium">
          <color rgb="FF808080"/>
        </left>
        <right/>
        <top style="medium">
          <color rgb="FF808080"/>
        </top>
        <bottom style="medium">
          <color rgb="FF808080"/>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border diagonalUp="0" diagonalDown="0">
        <left style="medium">
          <color rgb="FF808080"/>
        </left>
        <right style="medium">
          <color rgb="FF808080"/>
        </right>
        <top style="medium">
          <color rgb="FF808080"/>
        </top>
        <bottom style="medium">
          <color rgb="FF808080"/>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border diagonalUp="0" diagonalDown="0">
        <left style="medium">
          <color rgb="FF808080"/>
        </left>
        <right style="medium">
          <color rgb="FF808080"/>
        </right>
        <top style="medium">
          <color rgb="FF808080"/>
        </top>
        <bottom style="medium">
          <color rgb="FF808080"/>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border diagonalUp="0" diagonalDown="0">
        <left style="medium">
          <color rgb="FF808080"/>
        </left>
        <right style="medium">
          <color rgb="FF808080"/>
        </right>
        <top style="medium">
          <color rgb="FF808080"/>
        </top>
        <bottom style="medium">
          <color rgb="FF808080"/>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border diagonalUp="0" diagonalDown="0">
        <left style="medium">
          <color rgb="FF808080"/>
        </left>
        <right style="medium">
          <color rgb="FF808080"/>
        </right>
        <top style="medium">
          <color rgb="FF808080"/>
        </top>
        <bottom style="medium">
          <color rgb="FF808080"/>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border diagonalUp="0" diagonalDown="0">
        <left style="medium">
          <color rgb="FF808080"/>
        </left>
        <right style="medium">
          <color rgb="FF808080"/>
        </right>
        <top style="medium">
          <color rgb="FF808080"/>
        </top>
        <bottom style="medium">
          <color rgb="FF808080"/>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border diagonalUp="0" diagonalDown="0">
        <left style="medium">
          <color rgb="FF808080"/>
        </left>
        <right style="medium">
          <color rgb="FF808080"/>
        </right>
        <top style="medium">
          <color rgb="FF808080"/>
        </top>
        <bottom style="medium">
          <color rgb="FF808080"/>
        </bottom>
        <vertical/>
        <horizontal/>
      </border>
    </dxf>
    <dxf>
      <font>
        <b val="0"/>
        <i val="0"/>
        <strike val="0"/>
        <condense val="0"/>
        <extend val="0"/>
        <outline val="0"/>
        <shadow val="0"/>
        <u val="none"/>
        <vertAlign val="baseline"/>
        <sz val="11"/>
        <color rgb="FF000000"/>
        <name val="Calibri"/>
        <family val="2"/>
        <scheme val="minor"/>
      </font>
      <alignment horizontal="left" vertical="bottom" textRotation="0" wrapText="0" indent="0" justifyLastLine="0" shrinkToFit="0" readingOrder="0"/>
      <border diagonalUp="0" diagonalDown="0">
        <left/>
        <right style="medium">
          <color rgb="FF808080"/>
        </right>
        <top style="medium">
          <color rgb="FF808080"/>
        </top>
        <bottom style="medium">
          <color rgb="FF808080"/>
        </bottom>
        <vertical/>
        <horizontal/>
      </border>
    </dxf>
    <dxf>
      <border outline="0">
        <top style="medium">
          <color rgb="FF808080"/>
        </top>
      </border>
    </dxf>
    <dxf>
      <border outline="0">
        <bottom style="medium">
          <color rgb="FF808080"/>
        </bottom>
      </border>
    </dxf>
    <dxf>
      <border outline="0">
        <left style="medium">
          <color rgb="FF808080"/>
        </left>
        <right style="medium">
          <color rgb="FF808080"/>
        </right>
        <top style="medium">
          <color rgb="FF808080"/>
        </top>
        <bottom style="medium">
          <color rgb="FF808080"/>
        </bottom>
      </border>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rgb="FF000000"/>
        <name val="Calibri"/>
        <family val="2"/>
        <scheme val="minor"/>
      </font>
      <fill>
        <patternFill patternType="solid">
          <fgColor rgb="FF000000"/>
          <bgColor rgb="FFFFF2CC"/>
        </patternFill>
      </fill>
      <alignment horizontal="center" vertical="center" textRotation="0" wrapText="0" indent="0" justifyLastLine="0" shrinkToFit="0" readingOrder="0"/>
      <border diagonalUp="0" diagonalDown="0" outline="0">
        <left style="medium">
          <color rgb="FF808080"/>
        </left>
        <right style="medium">
          <color rgb="FF80808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Charts!$B$1</c:f>
              <c:strCache>
                <c:ptCount val="1"/>
                <c:pt idx="0">
                  <c:v>Final Test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Charts!$A$2:$A$15</c:f>
              <c:strCache>
                <c:ptCount val="14"/>
                <c:pt idx="0">
                  <c:v>Abhimanyu</c:v>
                </c:pt>
                <c:pt idx="1">
                  <c:v>Arjun</c:v>
                </c:pt>
                <c:pt idx="2">
                  <c:v>Champa</c:v>
                </c:pt>
                <c:pt idx="3">
                  <c:v>Gopal</c:v>
                </c:pt>
                <c:pt idx="4">
                  <c:v>Gopi</c:v>
                </c:pt>
                <c:pt idx="5">
                  <c:v>Hari</c:v>
                </c:pt>
                <c:pt idx="6">
                  <c:v>Indu</c:v>
                </c:pt>
                <c:pt idx="7">
                  <c:v>Keshav</c:v>
                </c:pt>
                <c:pt idx="8">
                  <c:v>Lalita</c:v>
                </c:pt>
                <c:pt idx="9">
                  <c:v>Madhav</c:v>
                </c:pt>
                <c:pt idx="10">
                  <c:v>RNM</c:v>
                </c:pt>
                <c:pt idx="11">
                  <c:v>Sudevi</c:v>
                </c:pt>
                <c:pt idx="12">
                  <c:v>Visakha</c:v>
                </c:pt>
                <c:pt idx="13">
                  <c:v>Vrinda</c:v>
                </c:pt>
              </c:strCache>
            </c:strRef>
          </c:cat>
          <c:val>
            <c:numRef>
              <c:f>Charts!$B$2:$B$15</c:f>
              <c:numCache>
                <c:formatCode>General</c:formatCode>
                <c:ptCount val="14"/>
                <c:pt idx="0">
                  <c:v>99</c:v>
                </c:pt>
                <c:pt idx="1">
                  <c:v>91</c:v>
                </c:pt>
                <c:pt idx="2">
                  <c:v>88</c:v>
                </c:pt>
                <c:pt idx="3">
                  <c:v>79</c:v>
                </c:pt>
                <c:pt idx="4">
                  <c:v>96</c:v>
                </c:pt>
                <c:pt idx="5">
                  <c:v>80</c:v>
                </c:pt>
                <c:pt idx="6">
                  <c:v>89</c:v>
                </c:pt>
                <c:pt idx="7">
                  <c:v>96</c:v>
                </c:pt>
                <c:pt idx="8">
                  <c:v>92</c:v>
                </c:pt>
                <c:pt idx="9">
                  <c:v>89</c:v>
                </c:pt>
                <c:pt idx="10">
                  <c:v>77</c:v>
                </c:pt>
                <c:pt idx="11">
                  <c:v>87</c:v>
                </c:pt>
                <c:pt idx="12">
                  <c:v>85</c:v>
                </c:pt>
                <c:pt idx="13">
                  <c:v>98</c:v>
                </c:pt>
              </c:numCache>
            </c:numRef>
          </c:val>
          <c:extLst>
            <c:ext xmlns:c16="http://schemas.microsoft.com/office/drawing/2014/chart" uri="{C3380CC4-5D6E-409C-BE32-E72D297353CC}">
              <c16:uniqueId val="{00000000-3CEF-4CDA-A6DB-359D16E9F7F1}"/>
            </c:ext>
          </c:extLst>
        </c:ser>
        <c:dLbls>
          <c:dLblPos val="outEnd"/>
          <c:showLegendKey val="0"/>
          <c:showVal val="1"/>
          <c:showCatName val="0"/>
          <c:showSerName val="0"/>
          <c:showPercent val="0"/>
          <c:showBubbleSize val="0"/>
        </c:dLbls>
        <c:gapWidth val="100"/>
        <c:overlap val="-24"/>
        <c:axId val="938465344"/>
        <c:axId val="936491408"/>
      </c:barChart>
      <c:catAx>
        <c:axId val="9384653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sz="1050" b="1"/>
                  <a:t>Student</a:t>
                </a:r>
                <a:r>
                  <a:rPr lang="en-IN" sz="1050" b="1" baseline="0"/>
                  <a:t> Name</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6491408"/>
        <c:crosses val="autoZero"/>
        <c:auto val="1"/>
        <c:lblAlgn val="ctr"/>
        <c:lblOffset val="100"/>
        <c:noMultiLvlLbl val="0"/>
      </c:catAx>
      <c:valAx>
        <c:axId val="93649140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Marks</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8465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Charts!$B$1</c:f>
              <c:strCache>
                <c:ptCount val="1"/>
                <c:pt idx="0">
                  <c:v>Final Test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Charts!$A$2:$A$15</c:f>
              <c:strCache>
                <c:ptCount val="14"/>
                <c:pt idx="0">
                  <c:v>Abhimanyu</c:v>
                </c:pt>
                <c:pt idx="1">
                  <c:v>Arjun</c:v>
                </c:pt>
                <c:pt idx="2">
                  <c:v>Champa</c:v>
                </c:pt>
                <c:pt idx="3">
                  <c:v>Gopal</c:v>
                </c:pt>
                <c:pt idx="4">
                  <c:v>Gopi</c:v>
                </c:pt>
                <c:pt idx="5">
                  <c:v>Hari</c:v>
                </c:pt>
                <c:pt idx="6">
                  <c:v>Indu</c:v>
                </c:pt>
                <c:pt idx="7">
                  <c:v>Keshav</c:v>
                </c:pt>
                <c:pt idx="8">
                  <c:v>Lalita</c:v>
                </c:pt>
                <c:pt idx="9">
                  <c:v>Madhav</c:v>
                </c:pt>
                <c:pt idx="10">
                  <c:v>RNM</c:v>
                </c:pt>
                <c:pt idx="11">
                  <c:v>Sudevi</c:v>
                </c:pt>
                <c:pt idx="12">
                  <c:v>Visakha</c:v>
                </c:pt>
                <c:pt idx="13">
                  <c:v>Vrinda</c:v>
                </c:pt>
              </c:strCache>
            </c:strRef>
          </c:cat>
          <c:val>
            <c:numRef>
              <c:f>Charts!$B$2:$B$15</c:f>
              <c:numCache>
                <c:formatCode>General</c:formatCode>
                <c:ptCount val="14"/>
                <c:pt idx="0">
                  <c:v>99</c:v>
                </c:pt>
                <c:pt idx="1">
                  <c:v>91</c:v>
                </c:pt>
                <c:pt idx="2">
                  <c:v>88</c:v>
                </c:pt>
                <c:pt idx="3">
                  <c:v>79</c:v>
                </c:pt>
                <c:pt idx="4">
                  <c:v>96</c:v>
                </c:pt>
                <c:pt idx="5">
                  <c:v>80</c:v>
                </c:pt>
                <c:pt idx="6">
                  <c:v>89</c:v>
                </c:pt>
                <c:pt idx="7">
                  <c:v>96</c:v>
                </c:pt>
                <c:pt idx="8">
                  <c:v>92</c:v>
                </c:pt>
                <c:pt idx="9">
                  <c:v>89</c:v>
                </c:pt>
                <c:pt idx="10">
                  <c:v>77</c:v>
                </c:pt>
                <c:pt idx="11">
                  <c:v>87</c:v>
                </c:pt>
                <c:pt idx="12">
                  <c:v>85</c:v>
                </c:pt>
                <c:pt idx="13">
                  <c:v>98</c:v>
                </c:pt>
              </c:numCache>
            </c:numRef>
          </c:val>
          <c:extLst>
            <c:ext xmlns:c16="http://schemas.microsoft.com/office/drawing/2014/chart" uri="{C3380CC4-5D6E-409C-BE32-E72D297353CC}">
              <c16:uniqueId val="{00000000-8024-49FD-B62F-A84892E2A65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9</xdr:col>
      <xdr:colOff>53340</xdr:colOff>
      <xdr:row>0</xdr:row>
      <xdr:rowOff>45721</xdr:rowOff>
    </xdr:from>
    <xdr:to>
      <xdr:col>12</xdr:col>
      <xdr:colOff>99060</xdr:colOff>
      <xdr:row>7</xdr:row>
      <xdr:rowOff>83821</xdr:rowOff>
    </xdr:to>
    <mc:AlternateContent xmlns:mc="http://schemas.openxmlformats.org/markup-compatibility/2006">
      <mc:Choice xmlns:sle15="http://schemas.microsoft.com/office/drawing/2012/slicer" Requires="sle15">
        <xdr:graphicFrame macro="">
          <xdr:nvGraphicFramePr>
            <xdr:cNvPr id="3" name="House">
              <a:extLst>
                <a:ext uri="{FF2B5EF4-FFF2-40B4-BE49-F238E27FC236}">
                  <a16:creationId xmlns:a16="http://schemas.microsoft.com/office/drawing/2014/main" id="{AB52BBB7-7A12-58AC-09CF-B6CB3734D75B}"/>
                </a:ext>
              </a:extLst>
            </xdr:cNvPr>
            <xdr:cNvGraphicFramePr/>
          </xdr:nvGraphicFramePr>
          <xdr:xfrm>
            <a:off x="0" y="0"/>
            <a:ext cx="0" cy="0"/>
          </xdr:xfrm>
          <a:graphic>
            <a:graphicData uri="http://schemas.microsoft.com/office/drawing/2010/slicer">
              <sle:slicer xmlns:sle="http://schemas.microsoft.com/office/drawing/2010/slicer" name="House"/>
            </a:graphicData>
          </a:graphic>
        </xdr:graphicFrame>
      </mc:Choice>
      <mc:Fallback>
        <xdr:sp macro="" textlink="">
          <xdr:nvSpPr>
            <xdr:cNvPr id="0" name=""/>
            <xdr:cNvSpPr>
              <a:spLocks noTextEdit="1"/>
            </xdr:cNvSpPr>
          </xdr:nvSpPr>
          <xdr:spPr>
            <a:xfrm>
              <a:off x="6499860" y="45721"/>
              <a:ext cx="1828800" cy="14554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68580</xdr:colOff>
      <xdr:row>7</xdr:row>
      <xdr:rowOff>129541</xdr:rowOff>
    </xdr:from>
    <xdr:to>
      <xdr:col>12</xdr:col>
      <xdr:colOff>114300</xdr:colOff>
      <xdr:row>12</xdr:row>
      <xdr:rowOff>114301</xdr:rowOff>
    </xdr:to>
    <mc:AlternateContent xmlns:mc="http://schemas.openxmlformats.org/markup-compatibility/2006">
      <mc:Choice xmlns:sle15="http://schemas.microsoft.com/office/drawing/2012/slicer" Requires="sle15">
        <xdr:graphicFrame macro="">
          <xdr:nvGraphicFramePr>
            <xdr:cNvPr id="4" name="Gender">
              <a:extLst>
                <a:ext uri="{FF2B5EF4-FFF2-40B4-BE49-F238E27FC236}">
                  <a16:creationId xmlns:a16="http://schemas.microsoft.com/office/drawing/2014/main" id="{18F4481D-45E4-F919-89EC-51D48A61E5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515100" y="1546861"/>
              <a:ext cx="1828800" cy="9372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1</xdr:colOff>
      <xdr:row>17</xdr:row>
      <xdr:rowOff>152401</xdr:rowOff>
    </xdr:from>
    <xdr:to>
      <xdr:col>12</xdr:col>
      <xdr:colOff>22860</xdr:colOff>
      <xdr:row>31</xdr:row>
      <xdr:rowOff>167640</xdr:rowOff>
    </xdr:to>
    <xdr:pic>
      <xdr:nvPicPr>
        <xdr:cNvPr id="6" name="Picture 5">
          <a:extLst>
            <a:ext uri="{FF2B5EF4-FFF2-40B4-BE49-F238E27FC236}">
              <a16:creationId xmlns:a16="http://schemas.microsoft.com/office/drawing/2014/main" id="{44ED178D-87E6-6F73-994E-66FC7F3A39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3474721"/>
          <a:ext cx="8252459" cy="2636519"/>
        </a:xfrm>
        <a:prstGeom prst="rect">
          <a:avLst/>
        </a:prstGeom>
        <a:ln>
          <a:noFill/>
        </a:ln>
        <a:effectLst>
          <a:softEdge rad="112500"/>
        </a:effectLst>
      </xdr:spPr>
    </xdr:pic>
    <xdr:clientData/>
  </xdr:twoCellAnchor>
  <xdr:twoCellAnchor>
    <xdr:from>
      <xdr:col>17</xdr:col>
      <xdr:colOff>236220</xdr:colOff>
      <xdr:row>10</xdr:row>
      <xdr:rowOff>60960</xdr:rowOff>
    </xdr:from>
    <xdr:to>
      <xdr:col>18</xdr:col>
      <xdr:colOff>76200</xdr:colOff>
      <xdr:row>14</xdr:row>
      <xdr:rowOff>121920</xdr:rowOff>
    </xdr:to>
    <xdr:sp macro="" textlink="">
      <xdr:nvSpPr>
        <xdr:cNvPr id="7" name="Arrow: Down 6">
          <a:extLst>
            <a:ext uri="{FF2B5EF4-FFF2-40B4-BE49-F238E27FC236}">
              <a16:creationId xmlns:a16="http://schemas.microsoft.com/office/drawing/2014/main" id="{9C0C17DE-9A55-C75F-79AD-D84B7240B0CA}"/>
            </a:ext>
          </a:extLst>
        </xdr:cNvPr>
        <xdr:cNvSpPr/>
      </xdr:nvSpPr>
      <xdr:spPr>
        <a:xfrm>
          <a:off x="10965180" y="2049780"/>
          <a:ext cx="441960" cy="822960"/>
        </a:xfrm>
        <a:prstGeom prst="down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114300</xdr:colOff>
      <xdr:row>37</xdr:row>
      <xdr:rowOff>99060</xdr:rowOff>
    </xdr:from>
    <xdr:to>
      <xdr:col>9</xdr:col>
      <xdr:colOff>548640</xdr:colOff>
      <xdr:row>38</xdr:row>
      <xdr:rowOff>152400</xdr:rowOff>
    </xdr:to>
    <xdr:sp macro="" textlink="">
      <xdr:nvSpPr>
        <xdr:cNvPr id="8" name="Arrow: Right 7">
          <a:extLst>
            <a:ext uri="{FF2B5EF4-FFF2-40B4-BE49-F238E27FC236}">
              <a16:creationId xmlns:a16="http://schemas.microsoft.com/office/drawing/2014/main" id="{0585B553-A814-21F9-0B01-59A9FDBD9FFA}"/>
            </a:ext>
          </a:extLst>
        </xdr:cNvPr>
        <xdr:cNvSpPr/>
      </xdr:nvSpPr>
      <xdr:spPr>
        <a:xfrm>
          <a:off x="6560820" y="7155180"/>
          <a:ext cx="434340" cy="243840"/>
        </a:xfrm>
        <a:prstGeom prst="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76200</xdr:colOff>
      <xdr:row>41</xdr:row>
      <xdr:rowOff>76200</xdr:rowOff>
    </xdr:from>
    <xdr:to>
      <xdr:col>5</xdr:col>
      <xdr:colOff>647700</xdr:colOff>
      <xdr:row>45</xdr:row>
      <xdr:rowOff>129540</xdr:rowOff>
    </xdr:to>
    <xdr:sp macro="" textlink="">
      <xdr:nvSpPr>
        <xdr:cNvPr id="10" name="Arrow: Down 9">
          <a:extLst>
            <a:ext uri="{FF2B5EF4-FFF2-40B4-BE49-F238E27FC236}">
              <a16:creationId xmlns:a16="http://schemas.microsoft.com/office/drawing/2014/main" id="{BA39EA17-92FA-453B-81F4-BDDD5AF50E70}"/>
            </a:ext>
          </a:extLst>
        </xdr:cNvPr>
        <xdr:cNvSpPr/>
      </xdr:nvSpPr>
      <xdr:spPr>
        <a:xfrm>
          <a:off x="2834640" y="7894320"/>
          <a:ext cx="571500" cy="784860"/>
        </a:xfrm>
        <a:prstGeom prst="down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68580</xdr:colOff>
      <xdr:row>48</xdr:row>
      <xdr:rowOff>38100</xdr:rowOff>
    </xdr:from>
    <xdr:to>
      <xdr:col>9</xdr:col>
      <xdr:colOff>571500</xdr:colOff>
      <xdr:row>49</xdr:row>
      <xdr:rowOff>182880</xdr:rowOff>
    </xdr:to>
    <xdr:sp macro="" textlink="">
      <xdr:nvSpPr>
        <xdr:cNvPr id="11" name="Arrow: Right 10">
          <a:extLst>
            <a:ext uri="{FF2B5EF4-FFF2-40B4-BE49-F238E27FC236}">
              <a16:creationId xmlns:a16="http://schemas.microsoft.com/office/drawing/2014/main" id="{5ED065AA-8F48-8B29-D61F-36619B2D3ECF}"/>
            </a:ext>
          </a:extLst>
        </xdr:cNvPr>
        <xdr:cNvSpPr/>
      </xdr:nvSpPr>
      <xdr:spPr>
        <a:xfrm>
          <a:off x="6515100" y="9144000"/>
          <a:ext cx="502920" cy="335280"/>
        </a:xfrm>
        <a:prstGeom prst="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114300</xdr:colOff>
      <xdr:row>3</xdr:row>
      <xdr:rowOff>99060</xdr:rowOff>
    </xdr:from>
    <xdr:to>
      <xdr:col>9</xdr:col>
      <xdr:colOff>548640</xdr:colOff>
      <xdr:row>4</xdr:row>
      <xdr:rowOff>152400</xdr:rowOff>
    </xdr:to>
    <xdr:sp macro="" textlink="">
      <xdr:nvSpPr>
        <xdr:cNvPr id="2" name="Arrow: Right 1">
          <a:extLst>
            <a:ext uri="{FF2B5EF4-FFF2-40B4-BE49-F238E27FC236}">
              <a16:creationId xmlns:a16="http://schemas.microsoft.com/office/drawing/2014/main" id="{1456CFB1-E72A-4F18-814E-E38B1DD5D8BF}"/>
            </a:ext>
          </a:extLst>
        </xdr:cNvPr>
        <xdr:cNvSpPr/>
      </xdr:nvSpPr>
      <xdr:spPr>
        <a:xfrm>
          <a:off x="6560820" y="7155180"/>
          <a:ext cx="434340" cy="243840"/>
        </a:xfrm>
        <a:prstGeom prst="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76200</xdr:colOff>
      <xdr:row>7</xdr:row>
      <xdr:rowOff>76200</xdr:rowOff>
    </xdr:from>
    <xdr:to>
      <xdr:col>5</xdr:col>
      <xdr:colOff>647700</xdr:colOff>
      <xdr:row>11</xdr:row>
      <xdr:rowOff>129540</xdr:rowOff>
    </xdr:to>
    <xdr:sp macro="" textlink="">
      <xdr:nvSpPr>
        <xdr:cNvPr id="3" name="Arrow: Down 2">
          <a:extLst>
            <a:ext uri="{FF2B5EF4-FFF2-40B4-BE49-F238E27FC236}">
              <a16:creationId xmlns:a16="http://schemas.microsoft.com/office/drawing/2014/main" id="{10993034-64E3-46DE-8E6C-C1B203975114}"/>
            </a:ext>
          </a:extLst>
        </xdr:cNvPr>
        <xdr:cNvSpPr/>
      </xdr:nvSpPr>
      <xdr:spPr>
        <a:xfrm>
          <a:off x="2834640" y="7894320"/>
          <a:ext cx="571500" cy="784860"/>
        </a:xfrm>
        <a:prstGeom prst="down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68580</xdr:colOff>
      <xdr:row>14</xdr:row>
      <xdr:rowOff>38100</xdr:rowOff>
    </xdr:from>
    <xdr:to>
      <xdr:col>9</xdr:col>
      <xdr:colOff>571500</xdr:colOff>
      <xdr:row>15</xdr:row>
      <xdr:rowOff>182880</xdr:rowOff>
    </xdr:to>
    <xdr:sp macro="" textlink="">
      <xdr:nvSpPr>
        <xdr:cNvPr id="4" name="Arrow: Right 3">
          <a:extLst>
            <a:ext uri="{FF2B5EF4-FFF2-40B4-BE49-F238E27FC236}">
              <a16:creationId xmlns:a16="http://schemas.microsoft.com/office/drawing/2014/main" id="{EE714D26-2210-4269-A8CB-4BA125E749E9}"/>
            </a:ext>
          </a:extLst>
        </xdr:cNvPr>
        <xdr:cNvSpPr/>
      </xdr:nvSpPr>
      <xdr:spPr>
        <a:xfrm>
          <a:off x="6515100" y="9144000"/>
          <a:ext cx="502920" cy="335280"/>
        </a:xfrm>
        <a:prstGeom prst="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0</xdr:row>
      <xdr:rowOff>0</xdr:rowOff>
    </xdr:from>
    <xdr:to>
      <xdr:col>11</xdr:col>
      <xdr:colOff>312420</xdr:colOff>
      <xdr:row>14</xdr:row>
      <xdr:rowOff>76200</xdr:rowOff>
    </xdr:to>
    <xdr:graphicFrame macro="">
      <xdr:nvGraphicFramePr>
        <xdr:cNvPr id="2" name="Chart 1">
          <a:extLst>
            <a:ext uri="{FF2B5EF4-FFF2-40B4-BE49-F238E27FC236}">
              <a16:creationId xmlns:a16="http://schemas.microsoft.com/office/drawing/2014/main" id="{69351FF3-73DC-BE04-BBE2-694F40350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xdr:colOff>
      <xdr:row>0</xdr:row>
      <xdr:rowOff>3810</xdr:rowOff>
    </xdr:from>
    <xdr:to>
      <xdr:col>19</xdr:col>
      <xdr:colOff>312420</xdr:colOff>
      <xdr:row>14</xdr:row>
      <xdr:rowOff>80010</xdr:rowOff>
    </xdr:to>
    <xdr:graphicFrame macro="">
      <xdr:nvGraphicFramePr>
        <xdr:cNvPr id="3" name="Chart 2">
          <a:extLst>
            <a:ext uri="{FF2B5EF4-FFF2-40B4-BE49-F238E27FC236}">
              <a16:creationId xmlns:a16="http://schemas.microsoft.com/office/drawing/2014/main" id="{20A86774-55B6-16CD-1DE3-3A22FD55B1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TRIPATHI" refreshedDate="46296.48917847222" createdVersion="8" refreshedVersion="8" minRefreshableVersion="3" recordCount="14" xr:uid="{37A4F0FE-737D-448C-A727-292C212225DF}">
  <cacheSource type="worksheet">
    <worksheetSource name="Table26"/>
  </cacheSource>
  <cacheFields count="9">
    <cacheField name="Name" numFmtId="0">
      <sharedItems/>
    </cacheField>
    <cacheField name="Gender" numFmtId="0">
      <sharedItems count="2">
        <s v="M"/>
        <s v="F"/>
      </sharedItems>
    </cacheField>
    <cacheField name="Age" numFmtId="0">
      <sharedItems containsSemiMixedTypes="0" containsString="0" containsNumber="1" containsInteger="1" minValue="11" maxValue="17"/>
    </cacheField>
    <cacheField name="Class" numFmtId="0">
      <sharedItems containsSemiMixedTypes="0" containsString="0" containsNumber="1" containsInteger="1" minValue="5" maxValue="10"/>
    </cacheField>
    <cacheField name="House" numFmtId="0">
      <sharedItems count="4">
        <s v="Vayu"/>
        <s v="Jal"/>
        <s v="Agni"/>
        <s v="Bhoomi"/>
      </sharedItems>
    </cacheField>
    <cacheField name="Unit Test 1" numFmtId="0">
      <sharedItems containsSemiMixedTypes="0" containsString="0" containsNumber="1" containsInteger="1" minValue="70" maxValue="91"/>
    </cacheField>
    <cacheField name="Unit Test 2" numFmtId="0">
      <sharedItems containsSemiMixedTypes="0" containsString="0" containsNumber="1" containsInteger="1" minValue="75" maxValue="96"/>
    </cacheField>
    <cacheField name="Final Test" numFmtId="0">
      <sharedItems containsSemiMixedTypes="0" containsString="0" containsNumber="1" containsInteger="1" minValue="77" maxValue="99"/>
    </cacheField>
    <cacheField name="emai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Arjun"/>
    <x v="0"/>
    <n v="11"/>
    <n v="5"/>
    <x v="0"/>
    <n v="82"/>
    <n v="83"/>
    <n v="91"/>
    <s v="Arjun@mail.com"/>
  </r>
  <r>
    <s v="Madhav"/>
    <x v="0"/>
    <n v="12"/>
    <n v="7"/>
    <x v="1"/>
    <n v="86"/>
    <n v="92"/>
    <n v="89"/>
    <s v="Madhav@mail.com"/>
  </r>
  <r>
    <s v="Vrinda"/>
    <x v="1"/>
    <n v="14"/>
    <n v="8"/>
    <x v="2"/>
    <n v="91"/>
    <n v="96"/>
    <n v="98"/>
    <s v="Vrinda@mail.com"/>
  </r>
  <r>
    <s v="Indu"/>
    <x v="1"/>
    <n v="14"/>
    <n v="8"/>
    <x v="0"/>
    <n v="90"/>
    <n v="86"/>
    <n v="89"/>
    <s v="Indu@mail.com"/>
  </r>
  <r>
    <s v="Gopal"/>
    <x v="0"/>
    <n v="14"/>
    <n v="8"/>
    <x v="3"/>
    <n v="70"/>
    <n v="75"/>
    <n v="79"/>
    <s v="Gopal@mail.com"/>
  </r>
  <r>
    <s v="Keshav"/>
    <x v="0"/>
    <n v="15"/>
    <n v="9"/>
    <x v="2"/>
    <n v="87"/>
    <n v="89"/>
    <n v="96"/>
    <s v="Keshav@mail.com"/>
  </r>
  <r>
    <s v="Champa"/>
    <x v="1"/>
    <n v="15"/>
    <n v="8"/>
    <x v="1"/>
    <n v="81"/>
    <n v="78"/>
    <n v="88"/>
    <s v="Champa@mail.com"/>
  </r>
  <r>
    <s v="Abhimanyu"/>
    <x v="0"/>
    <n v="16"/>
    <n v="10"/>
    <x v="3"/>
    <n v="84"/>
    <n v="79"/>
    <n v="99"/>
    <s v="Abhimanyu@mail.com"/>
  </r>
  <r>
    <s v="Gopi"/>
    <x v="1"/>
    <n v="16"/>
    <n v="10"/>
    <x v="2"/>
    <n v="88"/>
    <n v="92"/>
    <n v="96"/>
    <s v="Gopi@mail.com"/>
  </r>
  <r>
    <s v="Sudevi"/>
    <x v="1"/>
    <n v="16"/>
    <n v="10"/>
    <x v="1"/>
    <n v="81"/>
    <n v="80"/>
    <n v="87"/>
    <s v="Sudevi@mail.com"/>
  </r>
  <r>
    <s v="Visakha"/>
    <x v="1"/>
    <n v="16"/>
    <n v="10"/>
    <x v="3"/>
    <n v="70"/>
    <n v="87"/>
    <n v="85"/>
    <s v="Visakha@mail.com"/>
  </r>
  <r>
    <s v="Hari"/>
    <x v="0"/>
    <n v="16"/>
    <n v="10"/>
    <x v="3"/>
    <n v="82"/>
    <n v="81"/>
    <n v="80"/>
    <s v="Hari@mail.com"/>
  </r>
  <r>
    <s v="RNM"/>
    <x v="0"/>
    <n v="16"/>
    <n v="10"/>
    <x v="2"/>
    <n v="86"/>
    <n v="81"/>
    <n v="77"/>
    <s v="RNM@mail.com"/>
  </r>
  <r>
    <s v="Lalita"/>
    <x v="1"/>
    <n v="17"/>
    <n v="10"/>
    <x v="0"/>
    <n v="70"/>
    <n v="90"/>
    <n v="92"/>
    <s v="Lalita@mail.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8FF148-061B-4504-B2BD-2DA651692B8C}" name="PivotTable5"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5" firstHeaderRow="1" firstDataRow="1" firstDataCol="1"/>
  <pivotFields count="9">
    <pivotField showAll="0"/>
    <pivotField axis="axisRow" showAll="0">
      <items count="3">
        <item x="1"/>
        <item x="0"/>
        <item t="default"/>
      </items>
    </pivotField>
    <pivotField showAll="0"/>
    <pivotField showAll="0"/>
    <pivotField axis="axisRow" showAll="0">
      <items count="5">
        <item x="2"/>
        <item x="3"/>
        <item x="1"/>
        <item x="0"/>
        <item t="default"/>
      </items>
    </pivotField>
    <pivotField showAll="0"/>
    <pivotField showAll="0"/>
    <pivotField dataField="1" showAll="0"/>
    <pivotField showAll="0"/>
  </pivotFields>
  <rowFields count="2">
    <field x="4"/>
    <field x="1"/>
  </rowFields>
  <rowItems count="12">
    <i>
      <x/>
    </i>
    <i r="1">
      <x/>
    </i>
    <i r="1">
      <x v="1"/>
    </i>
    <i>
      <x v="1"/>
    </i>
    <i r="1">
      <x/>
    </i>
    <i r="1">
      <x v="1"/>
    </i>
    <i>
      <x v="2"/>
    </i>
    <i r="1">
      <x/>
    </i>
    <i r="1">
      <x v="1"/>
    </i>
    <i>
      <x v="3"/>
    </i>
    <i r="1">
      <x/>
    </i>
    <i r="1">
      <x v="1"/>
    </i>
  </rowItems>
  <colItems count="1">
    <i/>
  </colItems>
  <dataFields count="1">
    <dataField name="Sum of Final Test" fld="7"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e" xr10:uid="{36BF13B1-2D0A-44E8-8BCA-B399B6CA2622}" sourceName="House">
  <extLst>
    <x:ext xmlns:x15="http://schemas.microsoft.com/office/spreadsheetml/2010/11/main" uri="{2F2917AC-EB37-4324-AD4E-5DD8C200BD13}">
      <x15:tableSlicerCache tableId="2"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B6AE4DA-3AA4-49AB-BFCD-4048FC0856A4}" sourceName="Gender">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se" xr10:uid="{4665CE32-42A0-436B-9658-790CB0950D69}" cache="Slicer_House" caption="House" rowHeight="234950"/>
  <slicer name="Gender" xr10:uid="{A7CDFF4E-8D39-4952-8C4A-4FAF830DED73}"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CD571C-A5D7-4C88-88BC-C03071AB56BF}" name="Table2" displayName="Table2" ref="A3:I17" totalsRowShown="0" headerRowDxfId="30" dataDxfId="29" headerRowBorderDxfId="27" tableBorderDxfId="28" totalsRowBorderDxfId="26">
  <autoFilter ref="A3:I17" xr:uid="{27CD571C-A5D7-4C88-88BC-C03071AB56BF}"/>
  <tableColumns count="9">
    <tableColumn id="1" xr3:uid="{7041BF28-2B84-4ED6-A64C-DD2C9F23662E}" name="Name" dataDxfId="25"/>
    <tableColumn id="2" xr3:uid="{0D537395-310F-47D7-94CD-79F9AECDDCEF}" name="Gender" dataDxfId="24"/>
    <tableColumn id="3" xr3:uid="{E0EE6649-4C76-4155-94A4-7FF18327F3D7}" name="Age" dataDxfId="23"/>
    <tableColumn id="4" xr3:uid="{3537ED88-8CE5-4841-81EF-F16FDEC5E471}" name="Class" dataDxfId="22"/>
    <tableColumn id="5" xr3:uid="{3CF80777-C6DB-4CCF-BE77-2C512036312E}" name="House" dataDxfId="17"/>
    <tableColumn id="6" xr3:uid="{387EEF80-7662-4123-8834-6FCAD48BC071}" name="Unit Test 1" dataDxfId="21"/>
    <tableColumn id="7" xr3:uid="{47D22EC3-9766-4229-9CD1-AA4FAAE37576}" name="Unit Test 2" dataDxfId="20"/>
    <tableColumn id="8" xr3:uid="{E71F638B-AA58-44F8-9793-386B6BAF5EBE}" name="Final Test" dataDxfId="19"/>
    <tableColumn id="9" xr3:uid="{23A4A1A7-987F-410D-9FF6-49967CE591A7}" name="email" dataDxfId="18"/>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68923E-A4AB-4217-8946-6D442A936F3E}" name="Table3" displayName="Table3" ref="A1:A4" totalsRowShown="0" headerRowDxfId="14" dataDxfId="15">
  <autoFilter ref="A1:A4" xr:uid="{EC68923E-A4AB-4217-8946-6D442A936F3E}"/>
  <tableColumns count="1">
    <tableColumn id="1" xr3:uid="{AE90FEF9-4124-4DFD-9A48-3AC6324A4279}" name="Grade" dataDxf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4682FE-9376-4FD5-AE01-FD2333694EEA}" name="Table4" displayName="Table4" ref="G1:G3" totalsRowShown="0">
  <autoFilter ref="G1:G3" xr:uid="{EA4682FE-9376-4FD5-AE01-FD2333694EEA}"/>
  <tableColumns count="1">
    <tableColumn id="1" xr3:uid="{446762F6-732B-4C22-B629-A8AD6C73A9B1}" name="Gend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119AFC-BE86-4923-94B0-6A0908EBE280}" name="Table26" displayName="Table26" ref="A3:I17" totalsRowShown="0" headerRowDxfId="13" dataDxfId="12" headerRowBorderDxfId="10" tableBorderDxfId="11" totalsRowBorderDxfId="9">
  <tableColumns count="9">
    <tableColumn id="1" xr3:uid="{42B8B94B-1637-46AC-95C2-E358CE1E2CDF}" name="Name" dataDxfId="8"/>
    <tableColumn id="2" xr3:uid="{8FEB1CC3-35E3-4802-A2E9-41047DA0FC10}" name="Gender" dataDxfId="7"/>
    <tableColumn id="3" xr3:uid="{BCBF8752-00F4-4FED-AC8B-21C4B5662DD5}" name="Age" dataDxfId="6"/>
    <tableColumn id="4" xr3:uid="{EFFC6FEF-8B55-4636-AF94-6F446492EB2E}" name="Class" dataDxfId="5"/>
    <tableColumn id="5" xr3:uid="{A7DD3CF1-24FE-4E8E-AFB0-6CBE28775277}" name="House" dataDxfId="4"/>
    <tableColumn id="6" xr3:uid="{A936731D-FE04-4953-AA90-0242AD884351}" name="Unit Test 1" dataDxfId="3"/>
    <tableColumn id="7" xr3:uid="{7AF17FC1-F643-4781-BB00-02BE6BBD21B3}" name="Unit Test 2" dataDxfId="2"/>
    <tableColumn id="8" xr3:uid="{6CEA78E7-391D-4463-B135-4B2A458FA3E6}" name="Final Test" dataDxfId="1"/>
    <tableColumn id="9" xr3:uid="{FD065918-DC28-417E-A222-228949E223D7}" name="email"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2044F-E1ED-4FE2-8C72-F4CF862481F6}">
  <sheetPr>
    <tabColor theme="4" tint="-0.249977111117893"/>
  </sheetPr>
  <dimension ref="A1:J9"/>
  <sheetViews>
    <sheetView workbookViewId="0">
      <selection sqref="A1:J2"/>
    </sheetView>
  </sheetViews>
  <sheetFormatPr defaultRowHeight="14.4" x14ac:dyDescent="0.3"/>
  <cols>
    <col min="1" max="1" width="5.109375" style="1" bestFit="1" customWidth="1"/>
    <col min="2" max="2" width="11" bestFit="1" customWidth="1"/>
    <col min="3" max="3" width="10.44140625" bestFit="1" customWidth="1"/>
    <col min="4" max="4" width="15.109375" bestFit="1" customWidth="1"/>
    <col min="5" max="5" width="7.6640625" bestFit="1" customWidth="1"/>
    <col min="6" max="6" width="7.5546875" bestFit="1" customWidth="1"/>
    <col min="7" max="7" width="8.44140625" bestFit="1" customWidth="1"/>
    <col min="8" max="8" width="9.6640625" bestFit="1" customWidth="1"/>
    <col min="9" max="9" width="7.77734375" bestFit="1" customWidth="1"/>
    <col min="10" max="10" width="19.21875" bestFit="1" customWidth="1"/>
  </cols>
  <sheetData>
    <row r="1" spans="1:10" x14ac:dyDescent="0.3">
      <c r="A1" s="9" t="s">
        <v>20</v>
      </c>
      <c r="B1" s="10"/>
      <c r="C1" s="10"/>
      <c r="D1" s="10"/>
      <c r="E1" s="10"/>
      <c r="F1" s="10"/>
      <c r="G1" s="10"/>
      <c r="H1" s="10"/>
      <c r="I1" s="10"/>
      <c r="J1" s="11"/>
    </row>
    <row r="2" spans="1:10" ht="15" thickBot="1" x14ac:dyDescent="0.35">
      <c r="A2" s="12"/>
      <c r="B2" s="13"/>
      <c r="C2" s="13"/>
      <c r="D2" s="13"/>
      <c r="E2" s="13"/>
      <c r="F2" s="13"/>
      <c r="G2" s="13"/>
      <c r="H2" s="13"/>
      <c r="I2" s="13"/>
      <c r="J2" s="14"/>
    </row>
    <row r="4" spans="1:10" x14ac:dyDescent="0.3">
      <c r="A4" s="3" t="s">
        <v>0</v>
      </c>
      <c r="B4" s="4" t="s">
        <v>1</v>
      </c>
      <c r="C4" s="4" t="s">
        <v>2</v>
      </c>
      <c r="D4" s="5" t="s">
        <v>3</v>
      </c>
      <c r="E4" s="3" t="s">
        <v>4</v>
      </c>
      <c r="F4" s="3" t="s">
        <v>5</v>
      </c>
      <c r="G4" s="3" t="s">
        <v>6</v>
      </c>
      <c r="H4" s="4" t="s">
        <v>7</v>
      </c>
      <c r="I4" s="4" t="s">
        <v>8</v>
      </c>
      <c r="J4" s="4" t="s">
        <v>9</v>
      </c>
    </row>
    <row r="5" spans="1:10" x14ac:dyDescent="0.3">
      <c r="A5" s="6">
        <v>1</v>
      </c>
      <c r="B5" s="7" t="s">
        <v>10</v>
      </c>
      <c r="C5" s="7" t="s">
        <v>15</v>
      </c>
      <c r="D5" s="8">
        <v>44682</v>
      </c>
      <c r="E5" s="6">
        <v>1500</v>
      </c>
      <c r="F5" s="6">
        <v>1600</v>
      </c>
      <c r="G5" s="6">
        <v>1200</v>
      </c>
      <c r="H5" s="6">
        <f>SUM(E5:G5)</f>
        <v>4300</v>
      </c>
      <c r="I5" s="7">
        <f>AVERAGE(E5:G5)</f>
        <v>1433.3333333333333</v>
      </c>
      <c r="J5" s="6" t="str">
        <f>_xlfn.CONCAT(B5," ",C5)</f>
        <v>RAJ KUMAR</v>
      </c>
    </row>
    <row r="6" spans="1:10" x14ac:dyDescent="0.3">
      <c r="A6" s="6">
        <v>2</v>
      </c>
      <c r="B6" s="7" t="s">
        <v>11</v>
      </c>
      <c r="C6" s="7" t="s">
        <v>16</v>
      </c>
      <c r="D6" s="8">
        <v>45082</v>
      </c>
      <c r="E6" s="6">
        <v>1700</v>
      </c>
      <c r="F6" s="6">
        <v>2500</v>
      </c>
      <c r="G6" s="6">
        <v>1600</v>
      </c>
      <c r="H6" s="6">
        <f t="shared" ref="H6:H9" si="0">SUM(E6:G6)</f>
        <v>5800</v>
      </c>
      <c r="I6" s="7">
        <f t="shared" ref="I6:I9" si="1">AVERAGE(E6:G6)</f>
        <v>1933.3333333333333</v>
      </c>
      <c r="J6" s="6" t="str">
        <f t="shared" ref="J6:J9" si="2">_xlfn.CONCAT(B6," ",C6)</f>
        <v>ANKIT TRIPATHI</v>
      </c>
    </row>
    <row r="7" spans="1:10" x14ac:dyDescent="0.3">
      <c r="A7" s="6">
        <v>3</v>
      </c>
      <c r="B7" s="7" t="s">
        <v>12</v>
      </c>
      <c r="C7" s="7" t="s">
        <v>17</v>
      </c>
      <c r="D7" s="8">
        <v>44997</v>
      </c>
      <c r="E7" s="6">
        <v>1800</v>
      </c>
      <c r="F7" s="6">
        <v>1200</v>
      </c>
      <c r="G7" s="6">
        <v>1800</v>
      </c>
      <c r="H7" s="6">
        <f t="shared" si="0"/>
        <v>4800</v>
      </c>
      <c r="I7" s="7">
        <f t="shared" si="1"/>
        <v>1600</v>
      </c>
      <c r="J7" s="6" t="str">
        <f t="shared" si="2"/>
        <v>ADARSH MISHRA</v>
      </c>
    </row>
    <row r="8" spans="1:10" x14ac:dyDescent="0.3">
      <c r="A8" s="6">
        <v>4</v>
      </c>
      <c r="B8" s="7" t="s">
        <v>13</v>
      </c>
      <c r="C8" s="7" t="s">
        <v>18</v>
      </c>
      <c r="D8" s="8">
        <v>44607</v>
      </c>
      <c r="E8" s="6">
        <v>1200</v>
      </c>
      <c r="F8" s="6">
        <v>1800</v>
      </c>
      <c r="G8" s="6">
        <v>1600</v>
      </c>
      <c r="H8" s="6">
        <f t="shared" si="0"/>
        <v>4600</v>
      </c>
      <c r="I8" s="7">
        <f t="shared" si="1"/>
        <v>1533.3333333333333</v>
      </c>
      <c r="J8" s="6" t="str">
        <f t="shared" si="2"/>
        <v>NAMAN PANDEY</v>
      </c>
    </row>
    <row r="9" spans="1:10" x14ac:dyDescent="0.3">
      <c r="A9" s="6">
        <v>5</v>
      </c>
      <c r="B9" s="7" t="s">
        <v>14</v>
      </c>
      <c r="C9" s="7" t="s">
        <v>19</v>
      </c>
      <c r="D9" s="8">
        <v>46159</v>
      </c>
      <c r="E9" s="6">
        <v>1600</v>
      </c>
      <c r="F9" s="6">
        <v>1700</v>
      </c>
      <c r="G9" s="6">
        <v>1400</v>
      </c>
      <c r="H9" s="6">
        <f t="shared" si="0"/>
        <v>4700</v>
      </c>
      <c r="I9" s="7">
        <f t="shared" si="1"/>
        <v>1566.6666666666667</v>
      </c>
      <c r="J9" s="6" t="str">
        <f t="shared" si="2"/>
        <v>SHUBHAM UPADHYAY</v>
      </c>
    </row>
  </sheetData>
  <mergeCells count="1">
    <mergeCell ref="A1:J2"/>
  </mergeCells>
  <conditionalFormatting sqref="A5:G9">
    <cfRule type="colorScale" priority="2">
      <colorScale>
        <cfvo type="min"/>
        <cfvo type="percentile" val="50"/>
        <cfvo type="max"/>
        <color rgb="FFF8696B"/>
        <color rgb="FFFFEB84"/>
        <color rgb="FF63BE7B"/>
      </colorScale>
    </cfRule>
  </conditionalFormatting>
  <conditionalFormatting sqref="H5:J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B31CD-F92F-4444-ACEF-DDB0178B7514}">
  <sheetPr>
    <tabColor rgb="FF92D050"/>
  </sheetPr>
  <dimension ref="A1:I15"/>
  <sheetViews>
    <sheetView workbookViewId="0">
      <selection activeCell="J2" sqref="J2"/>
    </sheetView>
  </sheetViews>
  <sheetFormatPr defaultRowHeight="14.4" x14ac:dyDescent="0.3"/>
  <cols>
    <col min="1" max="1" width="8.33203125" bestFit="1" customWidth="1"/>
    <col min="2" max="2" width="7.33203125" bestFit="1" customWidth="1"/>
    <col min="3" max="3" width="9.6640625" bestFit="1" customWidth="1"/>
    <col min="4" max="4" width="13.109375" bestFit="1" customWidth="1"/>
    <col min="7" max="7" width="10.88671875" bestFit="1" customWidth="1"/>
  </cols>
  <sheetData>
    <row r="1" spans="1:9" x14ac:dyDescent="0.3">
      <c r="A1" s="17" t="s">
        <v>25</v>
      </c>
      <c r="B1" s="17"/>
      <c r="C1" s="17"/>
      <c r="D1" s="17"/>
      <c r="F1" s="18" t="s">
        <v>26</v>
      </c>
      <c r="G1" s="18"/>
      <c r="H1" s="18"/>
      <c r="I1" s="18"/>
    </row>
    <row r="2" spans="1:9" x14ac:dyDescent="0.3">
      <c r="A2" s="17"/>
      <c r="B2" s="17"/>
      <c r="C2" s="17"/>
      <c r="D2" s="17"/>
      <c r="F2" s="18"/>
      <c r="G2" s="18"/>
      <c r="H2" s="18"/>
      <c r="I2" s="18"/>
    </row>
    <row r="4" spans="1:9" x14ac:dyDescent="0.3">
      <c r="A4" s="15" t="s">
        <v>21</v>
      </c>
      <c r="B4" s="15" t="s">
        <v>22</v>
      </c>
      <c r="C4" s="15" t="s">
        <v>23</v>
      </c>
      <c r="D4" s="15" t="s">
        <v>24</v>
      </c>
      <c r="F4" s="19" t="s">
        <v>27</v>
      </c>
      <c r="G4" s="20" t="s">
        <v>39</v>
      </c>
      <c r="H4" s="21" t="s">
        <v>46</v>
      </c>
      <c r="I4" s="22" t="s">
        <v>57</v>
      </c>
    </row>
    <row r="5" spans="1:9" x14ac:dyDescent="0.3">
      <c r="A5" s="16">
        <v>2.34565</v>
      </c>
      <c r="B5" s="16">
        <f>ROUND(A5,0)</f>
        <v>2</v>
      </c>
      <c r="C5" s="16">
        <f>ROUNDUP(A5,2)</f>
        <v>2.3499999999999996</v>
      </c>
      <c r="D5" s="16">
        <f>ROUNDDOWN(A5,2)</f>
        <v>2.34</v>
      </c>
      <c r="F5" s="19" t="s">
        <v>28</v>
      </c>
      <c r="G5" s="20" t="s">
        <v>40</v>
      </c>
      <c r="H5" s="21" t="s">
        <v>47</v>
      </c>
      <c r="I5" s="22" t="s">
        <v>58</v>
      </c>
    </row>
    <row r="6" spans="1:9" x14ac:dyDescent="0.3">
      <c r="A6" s="16">
        <v>3.5568499999999998</v>
      </c>
      <c r="B6" s="16">
        <f t="shared" ref="B6:B10" si="0">ROUND(A6,0)</f>
        <v>4</v>
      </c>
      <c r="C6" s="16">
        <f t="shared" ref="C6:C10" si="1">ROUNDUP(A6,2)</f>
        <v>3.5599999999999996</v>
      </c>
      <c r="D6" s="16">
        <f t="shared" ref="D6:D10" si="2">ROUNDDOWN(A6,2)</f>
        <v>3.55</v>
      </c>
      <c r="F6" s="19" t="s">
        <v>29</v>
      </c>
      <c r="G6" s="20" t="s">
        <v>41</v>
      </c>
      <c r="H6" s="21" t="s">
        <v>48</v>
      </c>
      <c r="I6" s="22" t="s">
        <v>59</v>
      </c>
    </row>
    <row r="7" spans="1:9" x14ac:dyDescent="0.3">
      <c r="A7" s="16">
        <v>4.2525599999999999</v>
      </c>
      <c r="B7" s="16">
        <f t="shared" si="0"/>
        <v>4</v>
      </c>
      <c r="C7" s="16">
        <f t="shared" si="1"/>
        <v>4.26</v>
      </c>
      <c r="D7" s="16">
        <f t="shared" si="2"/>
        <v>4.25</v>
      </c>
      <c r="F7" s="19" t="s">
        <v>30</v>
      </c>
      <c r="G7" s="20" t="s">
        <v>42</v>
      </c>
      <c r="H7" s="21" t="s">
        <v>49</v>
      </c>
      <c r="I7" s="22" t="s">
        <v>60</v>
      </c>
    </row>
    <row r="8" spans="1:9" x14ac:dyDescent="0.3">
      <c r="A8" s="16">
        <v>2.3332999999999999</v>
      </c>
      <c r="B8" s="16">
        <f t="shared" si="0"/>
        <v>2</v>
      </c>
      <c r="C8" s="16">
        <f t="shared" si="1"/>
        <v>2.34</v>
      </c>
      <c r="D8" s="16">
        <f t="shared" si="2"/>
        <v>2.33</v>
      </c>
      <c r="F8" s="19" t="s">
        <v>31</v>
      </c>
      <c r="G8" s="20" t="s">
        <v>43</v>
      </c>
      <c r="H8" s="21" t="s">
        <v>31</v>
      </c>
      <c r="I8" s="22" t="s">
        <v>61</v>
      </c>
    </row>
    <row r="9" spans="1:9" x14ac:dyDescent="0.3">
      <c r="A9" s="16">
        <v>4.9999900000000004</v>
      </c>
      <c r="B9" s="16">
        <f t="shared" si="0"/>
        <v>5</v>
      </c>
      <c r="C9" s="16">
        <f t="shared" si="1"/>
        <v>5</v>
      </c>
      <c r="D9" s="16">
        <f t="shared" si="2"/>
        <v>4.99</v>
      </c>
      <c r="F9" s="19" t="s">
        <v>32</v>
      </c>
      <c r="G9" s="20" t="s">
        <v>44</v>
      </c>
      <c r="H9" s="21" t="s">
        <v>50</v>
      </c>
      <c r="I9" s="22" t="s">
        <v>62</v>
      </c>
    </row>
    <row r="10" spans="1:9" x14ac:dyDescent="0.3">
      <c r="A10" s="16">
        <v>6.00021</v>
      </c>
      <c r="B10" s="16">
        <f t="shared" si="0"/>
        <v>6</v>
      </c>
      <c r="C10" s="16">
        <f t="shared" si="1"/>
        <v>6.01</v>
      </c>
      <c r="D10" s="16">
        <f t="shared" si="2"/>
        <v>6</v>
      </c>
      <c r="F10" s="19" t="s">
        <v>33</v>
      </c>
      <c r="G10" s="20" t="s">
        <v>45</v>
      </c>
      <c r="H10" s="21" t="s">
        <v>51</v>
      </c>
      <c r="I10" s="22" t="s">
        <v>63</v>
      </c>
    </row>
    <row r="11" spans="1:9" x14ac:dyDescent="0.3">
      <c r="F11" s="19" t="s">
        <v>34</v>
      </c>
      <c r="H11" s="21" t="s">
        <v>52</v>
      </c>
    </row>
    <row r="12" spans="1:9" x14ac:dyDescent="0.3">
      <c r="F12" s="19" t="s">
        <v>35</v>
      </c>
      <c r="H12" s="21" t="s">
        <v>53</v>
      </c>
    </row>
    <row r="13" spans="1:9" x14ac:dyDescent="0.3">
      <c r="F13" s="19" t="s">
        <v>36</v>
      </c>
      <c r="H13" s="21" t="s">
        <v>54</v>
      </c>
    </row>
    <row r="14" spans="1:9" x14ac:dyDescent="0.3">
      <c r="F14" s="19" t="s">
        <v>37</v>
      </c>
      <c r="H14" s="21" t="s">
        <v>55</v>
      </c>
    </row>
    <row r="15" spans="1:9" x14ac:dyDescent="0.3">
      <c r="F15" s="19" t="s">
        <v>38</v>
      </c>
      <c r="H15" s="21" t="s">
        <v>56</v>
      </c>
    </row>
  </sheetData>
  <mergeCells count="2">
    <mergeCell ref="A1:D2"/>
    <mergeCell ref="F1:I2"/>
  </mergeCells>
  <phoneticPr fontId="6" type="noConversion"/>
  <conditionalFormatting sqref="A5:D1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248F8-3188-484F-9801-7EB59F723F2E}">
  <sheetPr>
    <tabColor rgb="FFFFFF00"/>
  </sheetPr>
  <dimension ref="A1:V52"/>
  <sheetViews>
    <sheetView workbookViewId="0">
      <selection activeCell="A3" sqref="A3:I17"/>
    </sheetView>
  </sheetViews>
  <sheetFormatPr defaultRowHeight="14.4" x14ac:dyDescent="0.3"/>
  <cols>
    <col min="1" max="1" width="10" bestFit="1" customWidth="1"/>
    <col min="2" max="2" width="9" customWidth="1"/>
    <col min="3" max="3" width="6.109375" customWidth="1"/>
    <col min="4" max="4" width="7" customWidth="1"/>
    <col min="5" max="5" width="8.109375" customWidth="1"/>
    <col min="6" max="7" width="11.77734375" customWidth="1"/>
    <col min="8" max="8" width="10.6640625" customWidth="1"/>
    <col min="9" max="9" width="19.5546875" bestFit="1" customWidth="1"/>
    <col min="11" max="11" width="10" bestFit="1" customWidth="1"/>
    <col min="12" max="12" width="7.109375" bestFit="1" customWidth="1"/>
    <col min="13" max="13" width="4.21875" bestFit="1" customWidth="1"/>
    <col min="14" max="14" width="5.109375" bestFit="1" customWidth="1"/>
    <col min="15" max="15" width="7.33203125" bestFit="1" customWidth="1"/>
    <col min="16" max="17" width="9.88671875" bestFit="1" customWidth="1"/>
    <col min="18" max="18" width="8.77734375" bestFit="1" customWidth="1"/>
    <col min="19" max="19" width="19.5546875" bestFit="1" customWidth="1"/>
    <col min="20" max="20" width="9.88671875" bestFit="1" customWidth="1"/>
    <col min="21" max="21" width="8.77734375" bestFit="1" customWidth="1"/>
    <col min="22" max="22" width="19.5546875" bestFit="1" customWidth="1"/>
  </cols>
  <sheetData>
    <row r="1" spans="1:22" ht="21.6" customHeight="1" x14ac:dyDescent="0.3">
      <c r="A1" s="29" t="s">
        <v>64</v>
      </c>
      <c r="B1" s="29"/>
      <c r="C1" s="29"/>
      <c r="D1" s="29"/>
      <c r="E1" s="29"/>
      <c r="F1" s="29"/>
      <c r="G1" s="29"/>
      <c r="H1" s="29"/>
      <c r="I1" s="29"/>
      <c r="N1" s="29" t="s">
        <v>64</v>
      </c>
      <c r="O1" s="29"/>
      <c r="P1" s="29"/>
      <c r="Q1" s="29"/>
      <c r="R1" s="29"/>
      <c r="S1" s="29"/>
      <c r="T1" s="29"/>
      <c r="U1" s="29"/>
      <c r="V1" s="29"/>
    </row>
    <row r="2" spans="1:22" ht="15" customHeight="1" thickBot="1" x14ac:dyDescent="0.35">
      <c r="A2" s="28"/>
      <c r="B2" s="28"/>
      <c r="C2" s="28"/>
      <c r="D2" s="28"/>
      <c r="E2" s="28"/>
      <c r="F2" s="28"/>
      <c r="G2" s="28"/>
      <c r="H2" s="28"/>
      <c r="I2" s="28"/>
      <c r="N2" s="28"/>
      <c r="O2" s="28"/>
      <c r="P2" s="28"/>
      <c r="Q2" s="28"/>
      <c r="R2" s="28"/>
      <c r="S2" s="28"/>
      <c r="T2" s="28"/>
      <c r="U2" s="28"/>
      <c r="V2" s="28"/>
    </row>
    <row r="3" spans="1:22" ht="15" thickBot="1" x14ac:dyDescent="0.35">
      <c r="A3" s="35" t="s">
        <v>65</v>
      </c>
      <c r="B3" s="36" t="s">
        <v>66</v>
      </c>
      <c r="C3" s="36" t="s">
        <v>67</v>
      </c>
      <c r="D3" s="36" t="s">
        <v>68</v>
      </c>
      <c r="E3" s="40" t="s">
        <v>69</v>
      </c>
      <c r="F3" s="36" t="s">
        <v>70</v>
      </c>
      <c r="G3" s="36" t="s">
        <v>71</v>
      </c>
      <c r="H3" s="36" t="s">
        <v>72</v>
      </c>
      <c r="I3" s="37" t="s">
        <v>73</v>
      </c>
      <c r="N3" s="23" t="s">
        <v>65</v>
      </c>
      <c r="O3" s="23" t="s">
        <v>66</v>
      </c>
      <c r="P3" s="23" t="s">
        <v>67</v>
      </c>
      <c r="Q3" s="23" t="s">
        <v>68</v>
      </c>
      <c r="R3" s="23" t="s">
        <v>69</v>
      </c>
      <c r="S3" s="23" t="s">
        <v>70</v>
      </c>
      <c r="T3" s="23" t="s">
        <v>71</v>
      </c>
      <c r="U3" s="23" t="s">
        <v>72</v>
      </c>
      <c r="V3" s="23" t="s">
        <v>73</v>
      </c>
    </row>
    <row r="4" spans="1:22" ht="15" thickBot="1" x14ac:dyDescent="0.35">
      <c r="A4" s="31" t="s">
        <v>78</v>
      </c>
      <c r="B4" s="27" t="s">
        <v>75</v>
      </c>
      <c r="C4" s="27">
        <v>11</v>
      </c>
      <c r="D4" s="27">
        <v>5</v>
      </c>
      <c r="E4" s="27" t="s">
        <v>79</v>
      </c>
      <c r="F4" s="27">
        <v>82</v>
      </c>
      <c r="G4" s="27">
        <v>83</v>
      </c>
      <c r="H4" s="27">
        <v>91</v>
      </c>
      <c r="I4" s="33" t="s">
        <v>80</v>
      </c>
      <c r="N4" s="24" t="s">
        <v>74</v>
      </c>
      <c r="O4" s="25" t="s">
        <v>75</v>
      </c>
      <c r="P4" s="25">
        <v>16</v>
      </c>
      <c r="Q4" s="25">
        <v>10</v>
      </c>
      <c r="R4" s="25" t="s">
        <v>76</v>
      </c>
      <c r="S4" s="25">
        <v>84</v>
      </c>
      <c r="T4" s="25">
        <v>79</v>
      </c>
      <c r="U4" s="25">
        <v>99</v>
      </c>
      <c r="V4" s="24" t="s">
        <v>77</v>
      </c>
    </row>
    <row r="5" spans="1:22" ht="15" thickBot="1" x14ac:dyDescent="0.35">
      <c r="A5" s="31" t="s">
        <v>98</v>
      </c>
      <c r="B5" s="27" t="s">
        <v>75</v>
      </c>
      <c r="C5" s="27">
        <v>12</v>
      </c>
      <c r="D5" s="27">
        <v>7</v>
      </c>
      <c r="E5" s="27" t="s">
        <v>83</v>
      </c>
      <c r="F5" s="27">
        <v>86</v>
      </c>
      <c r="G5" s="27">
        <v>92</v>
      </c>
      <c r="H5" s="27">
        <v>89</v>
      </c>
      <c r="I5" s="33" t="s">
        <v>99</v>
      </c>
      <c r="N5" s="26" t="s">
        <v>78</v>
      </c>
      <c r="O5" s="27" t="s">
        <v>75</v>
      </c>
      <c r="P5" s="27">
        <v>11</v>
      </c>
      <c r="Q5" s="27">
        <v>5</v>
      </c>
      <c r="R5" s="27" t="s">
        <v>79</v>
      </c>
      <c r="S5" s="27">
        <v>82</v>
      </c>
      <c r="T5" s="27">
        <v>83</v>
      </c>
      <c r="U5" s="27">
        <v>91</v>
      </c>
      <c r="V5" s="26" t="s">
        <v>80</v>
      </c>
    </row>
    <row r="6" spans="1:22" ht="15" thickBot="1" x14ac:dyDescent="0.35">
      <c r="A6" s="31" t="s">
        <v>106</v>
      </c>
      <c r="B6" s="27" t="s">
        <v>82</v>
      </c>
      <c r="C6" s="27">
        <v>14</v>
      </c>
      <c r="D6" s="27">
        <v>8</v>
      </c>
      <c r="E6" s="27" t="s">
        <v>88</v>
      </c>
      <c r="F6" s="27">
        <v>91</v>
      </c>
      <c r="G6" s="27">
        <v>96</v>
      </c>
      <c r="H6" s="27">
        <v>98</v>
      </c>
      <c r="I6" s="33" t="s">
        <v>107</v>
      </c>
      <c r="N6" s="26" t="s">
        <v>85</v>
      </c>
      <c r="O6" s="27" t="s">
        <v>75</v>
      </c>
      <c r="P6" s="27">
        <v>14</v>
      </c>
      <c r="Q6" s="27">
        <v>8</v>
      </c>
      <c r="R6" s="27" t="s">
        <v>76</v>
      </c>
      <c r="S6" s="27">
        <v>70</v>
      </c>
      <c r="T6" s="27">
        <v>75</v>
      </c>
      <c r="U6" s="27">
        <v>79</v>
      </c>
      <c r="V6" s="26" t="s">
        <v>86</v>
      </c>
    </row>
    <row r="7" spans="1:22" ht="15" thickBot="1" x14ac:dyDescent="0.35">
      <c r="A7" s="32" t="s">
        <v>92</v>
      </c>
      <c r="B7" s="25" t="s">
        <v>82</v>
      </c>
      <c r="C7" s="25">
        <v>14</v>
      </c>
      <c r="D7" s="25">
        <v>8</v>
      </c>
      <c r="E7" s="25" t="s">
        <v>79</v>
      </c>
      <c r="F7" s="25">
        <v>90</v>
      </c>
      <c r="G7" s="25">
        <v>86</v>
      </c>
      <c r="H7" s="25">
        <v>89</v>
      </c>
      <c r="I7" s="34" t="s">
        <v>93</v>
      </c>
      <c r="N7" s="26" t="s">
        <v>90</v>
      </c>
      <c r="O7" s="27" t="s">
        <v>75</v>
      </c>
      <c r="P7" s="27">
        <v>16</v>
      </c>
      <c r="Q7" s="27">
        <v>10</v>
      </c>
      <c r="R7" s="27" t="s">
        <v>76</v>
      </c>
      <c r="S7" s="27">
        <v>82</v>
      </c>
      <c r="T7" s="27">
        <v>81</v>
      </c>
      <c r="U7" s="27">
        <v>80</v>
      </c>
      <c r="V7" s="26" t="s">
        <v>91</v>
      </c>
    </row>
    <row r="8" spans="1:22" ht="15" thickBot="1" x14ac:dyDescent="0.35">
      <c r="A8" s="31" t="s">
        <v>85</v>
      </c>
      <c r="B8" s="27" t="s">
        <v>75</v>
      </c>
      <c r="C8" s="27">
        <v>14</v>
      </c>
      <c r="D8" s="27">
        <v>8</v>
      </c>
      <c r="E8" s="27" t="s">
        <v>76</v>
      </c>
      <c r="F8" s="27">
        <v>70</v>
      </c>
      <c r="G8" s="27">
        <v>75</v>
      </c>
      <c r="H8" s="27">
        <v>79</v>
      </c>
      <c r="I8" s="33" t="s">
        <v>86</v>
      </c>
      <c r="N8" s="26" t="s">
        <v>94</v>
      </c>
      <c r="O8" s="27" t="s">
        <v>75</v>
      </c>
      <c r="P8" s="27">
        <v>15</v>
      </c>
      <c r="Q8" s="27">
        <v>9</v>
      </c>
      <c r="R8" s="27" t="s">
        <v>88</v>
      </c>
      <c r="S8" s="27">
        <v>87</v>
      </c>
      <c r="T8" s="27">
        <v>89</v>
      </c>
      <c r="U8" s="27">
        <v>96</v>
      </c>
      <c r="V8" s="26" t="s">
        <v>95</v>
      </c>
    </row>
    <row r="9" spans="1:22" ht="15" thickBot="1" x14ac:dyDescent="0.35">
      <c r="A9" s="31" t="s">
        <v>94</v>
      </c>
      <c r="B9" s="27" t="s">
        <v>75</v>
      </c>
      <c r="C9" s="27">
        <v>15</v>
      </c>
      <c r="D9" s="27">
        <v>9</v>
      </c>
      <c r="E9" s="27" t="s">
        <v>88</v>
      </c>
      <c r="F9" s="27">
        <v>87</v>
      </c>
      <c r="G9" s="27">
        <v>89</v>
      </c>
      <c r="H9" s="27">
        <v>96</v>
      </c>
      <c r="I9" s="33" t="s">
        <v>95</v>
      </c>
      <c r="N9" s="26" t="s">
        <v>98</v>
      </c>
      <c r="O9" s="27" t="s">
        <v>75</v>
      </c>
      <c r="P9" s="27">
        <v>12</v>
      </c>
      <c r="Q9" s="27">
        <v>7</v>
      </c>
      <c r="R9" s="27" t="s">
        <v>83</v>
      </c>
      <c r="S9" s="27">
        <v>86</v>
      </c>
      <c r="T9" s="27">
        <v>92</v>
      </c>
      <c r="U9" s="27">
        <v>89</v>
      </c>
      <c r="V9" s="26" t="s">
        <v>99</v>
      </c>
    </row>
    <row r="10" spans="1:22" ht="15" thickBot="1" x14ac:dyDescent="0.35">
      <c r="A10" s="32" t="s">
        <v>81</v>
      </c>
      <c r="B10" s="25" t="s">
        <v>82</v>
      </c>
      <c r="C10" s="25">
        <v>15</v>
      </c>
      <c r="D10" s="25">
        <v>8</v>
      </c>
      <c r="E10" s="25" t="s">
        <v>83</v>
      </c>
      <c r="F10" s="25">
        <v>81</v>
      </c>
      <c r="G10" s="25">
        <v>78</v>
      </c>
      <c r="H10" s="25">
        <v>88</v>
      </c>
      <c r="I10" s="34" t="s">
        <v>84</v>
      </c>
      <c r="N10" s="24" t="s">
        <v>100</v>
      </c>
      <c r="O10" s="25" t="s">
        <v>75</v>
      </c>
      <c r="P10" s="25">
        <v>16</v>
      </c>
      <c r="Q10" s="25">
        <v>10</v>
      </c>
      <c r="R10" s="25" t="s">
        <v>88</v>
      </c>
      <c r="S10" s="25">
        <v>86</v>
      </c>
      <c r="T10" s="25">
        <v>81</v>
      </c>
      <c r="U10" s="25">
        <v>77</v>
      </c>
      <c r="V10" s="24" t="s">
        <v>101</v>
      </c>
    </row>
    <row r="11" spans="1:22" ht="15" thickBot="1" x14ac:dyDescent="0.35">
      <c r="A11" s="32" t="s">
        <v>74</v>
      </c>
      <c r="B11" s="25" t="s">
        <v>75</v>
      </c>
      <c r="C11" s="25">
        <v>16</v>
      </c>
      <c r="D11" s="25">
        <v>10</v>
      </c>
      <c r="E11" s="25" t="s">
        <v>76</v>
      </c>
      <c r="F11" s="25">
        <v>84</v>
      </c>
      <c r="G11" s="25">
        <v>79</v>
      </c>
      <c r="H11" s="25">
        <v>99</v>
      </c>
      <c r="I11" s="34" t="s">
        <v>77</v>
      </c>
    </row>
    <row r="12" spans="1:22" ht="15" thickBot="1" x14ac:dyDescent="0.35">
      <c r="A12" s="32" t="s">
        <v>87</v>
      </c>
      <c r="B12" s="25" t="s">
        <v>82</v>
      </c>
      <c r="C12" s="25">
        <v>16</v>
      </c>
      <c r="D12" s="25">
        <v>10</v>
      </c>
      <c r="E12" s="25" t="s">
        <v>88</v>
      </c>
      <c r="F12" s="25">
        <v>88</v>
      </c>
      <c r="G12" s="25">
        <v>92</v>
      </c>
      <c r="H12" s="25">
        <v>96</v>
      </c>
      <c r="I12" s="34" t="s">
        <v>89</v>
      </c>
    </row>
    <row r="13" spans="1:22" ht="15" thickBot="1" x14ac:dyDescent="0.35">
      <c r="A13" s="31" t="s">
        <v>102</v>
      </c>
      <c r="B13" s="27" t="s">
        <v>82</v>
      </c>
      <c r="C13" s="27">
        <v>16</v>
      </c>
      <c r="D13" s="27">
        <v>10</v>
      </c>
      <c r="E13" s="27" t="s">
        <v>83</v>
      </c>
      <c r="F13" s="27">
        <v>81</v>
      </c>
      <c r="G13" s="27">
        <v>80</v>
      </c>
      <c r="H13" s="27">
        <v>87</v>
      </c>
      <c r="I13" s="33" t="s">
        <v>103</v>
      </c>
    </row>
    <row r="14" spans="1:22" ht="15" thickBot="1" x14ac:dyDescent="0.35">
      <c r="A14" s="32" t="s">
        <v>104</v>
      </c>
      <c r="B14" s="25" t="s">
        <v>82</v>
      </c>
      <c r="C14" s="25">
        <v>16</v>
      </c>
      <c r="D14" s="25">
        <v>10</v>
      </c>
      <c r="E14" s="25" t="s">
        <v>76</v>
      </c>
      <c r="F14" s="25">
        <v>70</v>
      </c>
      <c r="G14" s="25">
        <v>87</v>
      </c>
      <c r="H14" s="25">
        <v>85</v>
      </c>
      <c r="I14" s="34" t="s">
        <v>105</v>
      </c>
    </row>
    <row r="15" spans="1:22" ht="15" thickBot="1" x14ac:dyDescent="0.35">
      <c r="A15" s="31" t="s">
        <v>90</v>
      </c>
      <c r="B15" s="27" t="s">
        <v>75</v>
      </c>
      <c r="C15" s="27">
        <v>16</v>
      </c>
      <c r="D15" s="27">
        <v>10</v>
      </c>
      <c r="E15" s="27" t="s">
        <v>76</v>
      </c>
      <c r="F15" s="27">
        <v>82</v>
      </c>
      <c r="G15" s="27">
        <v>81</v>
      </c>
      <c r="H15" s="27">
        <v>80</v>
      </c>
      <c r="I15" s="33" t="s">
        <v>91</v>
      </c>
    </row>
    <row r="16" spans="1:22" ht="15" thickBot="1" x14ac:dyDescent="0.35">
      <c r="A16" s="32" t="s">
        <v>100</v>
      </c>
      <c r="B16" s="25" t="s">
        <v>75</v>
      </c>
      <c r="C16" s="25">
        <v>16</v>
      </c>
      <c r="D16" s="25">
        <v>10</v>
      </c>
      <c r="E16" s="25" t="s">
        <v>88</v>
      </c>
      <c r="F16" s="25">
        <v>86</v>
      </c>
      <c r="G16" s="25">
        <v>81</v>
      </c>
      <c r="H16" s="25">
        <v>77</v>
      </c>
      <c r="I16" s="34" t="s">
        <v>101</v>
      </c>
      <c r="N16" s="29" t="s">
        <v>64</v>
      </c>
      <c r="O16" s="29"/>
      <c r="P16" s="29"/>
      <c r="Q16" s="29"/>
      <c r="R16" s="29"/>
      <c r="S16" s="29"/>
      <c r="T16" s="29"/>
      <c r="U16" s="29"/>
      <c r="V16" s="29"/>
    </row>
    <row r="17" spans="1:22" ht="15" thickBot="1" x14ac:dyDescent="0.35">
      <c r="A17" s="38" t="s">
        <v>96</v>
      </c>
      <c r="B17" s="30" t="s">
        <v>82</v>
      </c>
      <c r="C17" s="30">
        <v>17</v>
      </c>
      <c r="D17" s="30">
        <v>10</v>
      </c>
      <c r="E17" s="30" t="s">
        <v>79</v>
      </c>
      <c r="F17" s="30">
        <v>70</v>
      </c>
      <c r="G17" s="30">
        <v>90</v>
      </c>
      <c r="H17" s="30">
        <v>92</v>
      </c>
      <c r="I17" s="39" t="s">
        <v>97</v>
      </c>
      <c r="N17" s="28"/>
      <c r="O17" s="28"/>
      <c r="P17" s="28"/>
      <c r="Q17" s="28"/>
      <c r="R17" s="28"/>
      <c r="S17" s="28"/>
      <c r="T17" s="28"/>
      <c r="U17" s="28"/>
      <c r="V17" s="28"/>
    </row>
    <row r="18" spans="1:22" ht="15" thickBot="1" x14ac:dyDescent="0.35">
      <c r="N18" s="23" t="s">
        <v>65</v>
      </c>
      <c r="O18" s="23" t="s">
        <v>66</v>
      </c>
      <c r="P18" s="23" t="s">
        <v>67</v>
      </c>
      <c r="Q18" s="23" t="s">
        <v>68</v>
      </c>
      <c r="R18" s="23" t="s">
        <v>69</v>
      </c>
      <c r="S18" s="23" t="s">
        <v>70</v>
      </c>
      <c r="T18" s="23" t="s">
        <v>71</v>
      </c>
      <c r="U18" s="23" t="s">
        <v>72</v>
      </c>
      <c r="V18" s="23" t="s">
        <v>73</v>
      </c>
    </row>
    <row r="19" spans="1:22" ht="15" thickBot="1" x14ac:dyDescent="0.35">
      <c r="N19" s="24" t="s">
        <v>81</v>
      </c>
      <c r="O19" s="25" t="s">
        <v>82</v>
      </c>
      <c r="P19" s="25">
        <v>15</v>
      </c>
      <c r="Q19" s="25">
        <v>8</v>
      </c>
      <c r="R19" s="25" t="s">
        <v>83</v>
      </c>
      <c r="S19" s="25">
        <v>81</v>
      </c>
      <c r="T19" s="25">
        <v>78</v>
      </c>
      <c r="U19" s="25">
        <v>88</v>
      </c>
      <c r="V19" s="24" t="s">
        <v>84</v>
      </c>
    </row>
    <row r="20" spans="1:22" ht="15" thickBot="1" x14ac:dyDescent="0.35">
      <c r="N20" s="24" t="s">
        <v>87</v>
      </c>
      <c r="O20" s="25" t="s">
        <v>82</v>
      </c>
      <c r="P20" s="25">
        <v>16</v>
      </c>
      <c r="Q20" s="25">
        <v>10</v>
      </c>
      <c r="R20" s="25" t="s">
        <v>88</v>
      </c>
      <c r="S20" s="25">
        <v>88</v>
      </c>
      <c r="T20" s="25">
        <v>92</v>
      </c>
      <c r="U20" s="25">
        <v>96</v>
      </c>
      <c r="V20" s="24" t="s">
        <v>89</v>
      </c>
    </row>
    <row r="21" spans="1:22" ht="15" thickBot="1" x14ac:dyDescent="0.35">
      <c r="N21" s="24" t="s">
        <v>92</v>
      </c>
      <c r="O21" s="25" t="s">
        <v>82</v>
      </c>
      <c r="P21" s="25">
        <v>14</v>
      </c>
      <c r="Q21" s="25">
        <v>8</v>
      </c>
      <c r="R21" s="25" t="s">
        <v>79</v>
      </c>
      <c r="S21" s="25">
        <v>90</v>
      </c>
      <c r="T21" s="25">
        <v>86</v>
      </c>
      <c r="U21" s="25">
        <v>89</v>
      </c>
      <c r="V21" s="24" t="s">
        <v>93</v>
      </c>
    </row>
    <row r="22" spans="1:22" ht="15" thickBot="1" x14ac:dyDescent="0.35">
      <c r="N22" s="24" t="s">
        <v>96</v>
      </c>
      <c r="O22" s="25" t="s">
        <v>82</v>
      </c>
      <c r="P22" s="25">
        <v>17</v>
      </c>
      <c r="Q22" s="25">
        <v>10</v>
      </c>
      <c r="R22" s="25" t="s">
        <v>79</v>
      </c>
      <c r="S22" s="25">
        <v>70</v>
      </c>
      <c r="T22" s="25">
        <v>90</v>
      </c>
      <c r="U22" s="25">
        <v>92</v>
      </c>
      <c r="V22" s="24" t="s">
        <v>97</v>
      </c>
    </row>
    <row r="23" spans="1:22" ht="15" thickBot="1" x14ac:dyDescent="0.35">
      <c r="N23" s="26" t="s">
        <v>102</v>
      </c>
      <c r="O23" s="27" t="s">
        <v>82</v>
      </c>
      <c r="P23" s="27">
        <v>16</v>
      </c>
      <c r="Q23" s="27">
        <v>10</v>
      </c>
      <c r="R23" s="27" t="s">
        <v>83</v>
      </c>
      <c r="S23" s="27">
        <v>81</v>
      </c>
      <c r="T23" s="27">
        <v>80</v>
      </c>
      <c r="U23" s="27">
        <v>87</v>
      </c>
      <c r="V23" s="26" t="s">
        <v>103</v>
      </c>
    </row>
    <row r="24" spans="1:22" ht="15" thickBot="1" x14ac:dyDescent="0.35">
      <c r="N24" s="24" t="s">
        <v>104</v>
      </c>
      <c r="O24" s="25" t="s">
        <v>82</v>
      </c>
      <c r="P24" s="25">
        <v>16</v>
      </c>
      <c r="Q24" s="25">
        <v>10</v>
      </c>
      <c r="R24" s="25" t="s">
        <v>76</v>
      </c>
      <c r="S24" s="25">
        <v>70</v>
      </c>
      <c r="T24" s="25">
        <v>87</v>
      </c>
      <c r="U24" s="25">
        <v>85</v>
      </c>
      <c r="V24" s="24" t="s">
        <v>105</v>
      </c>
    </row>
    <row r="25" spans="1:22" ht="15" thickBot="1" x14ac:dyDescent="0.35">
      <c r="N25" s="26" t="s">
        <v>106</v>
      </c>
      <c r="O25" s="27" t="s">
        <v>82</v>
      </c>
      <c r="P25" s="27">
        <v>14</v>
      </c>
      <c r="Q25" s="27">
        <v>8</v>
      </c>
      <c r="R25" s="27" t="s">
        <v>88</v>
      </c>
      <c r="S25" s="27">
        <v>91</v>
      </c>
      <c r="T25" s="27">
        <v>96</v>
      </c>
      <c r="U25" s="27">
        <v>98</v>
      </c>
      <c r="V25" s="26" t="s">
        <v>107</v>
      </c>
    </row>
    <row r="35" spans="1:19" x14ac:dyDescent="0.3">
      <c r="A35" s="29" t="s">
        <v>64</v>
      </c>
      <c r="B35" s="29"/>
      <c r="C35" s="29"/>
      <c r="D35" s="29"/>
      <c r="E35" s="29"/>
      <c r="F35" s="29"/>
      <c r="G35" s="29"/>
      <c r="H35" s="29"/>
      <c r="I35" s="29"/>
      <c r="K35" s="29" t="s">
        <v>64</v>
      </c>
      <c r="L35" s="29"/>
      <c r="M35" s="29"/>
      <c r="N35" s="29"/>
      <c r="O35" s="29"/>
      <c r="P35" s="29"/>
      <c r="Q35" s="29"/>
      <c r="R35" s="29"/>
      <c r="S35" s="29"/>
    </row>
    <row r="36" spans="1:19" ht="15" thickBot="1" x14ac:dyDescent="0.35">
      <c r="A36" s="28"/>
      <c r="B36" s="28"/>
      <c r="C36" s="28"/>
      <c r="D36" s="28"/>
      <c r="E36" s="28"/>
      <c r="F36" s="28"/>
      <c r="G36" s="28"/>
      <c r="H36" s="28"/>
      <c r="I36" s="28"/>
      <c r="K36" s="28"/>
      <c r="L36" s="28"/>
      <c r="M36" s="28"/>
      <c r="N36" s="28"/>
      <c r="O36" s="28"/>
      <c r="P36" s="28"/>
      <c r="Q36" s="28"/>
      <c r="R36" s="28"/>
      <c r="S36" s="28"/>
    </row>
    <row r="37" spans="1:19" ht="15" thickBot="1" x14ac:dyDescent="0.35">
      <c r="A37" s="23" t="s">
        <v>65</v>
      </c>
      <c r="B37" s="23" t="s">
        <v>66</v>
      </c>
      <c r="C37" s="23" t="s">
        <v>67</v>
      </c>
      <c r="D37" s="23" t="s">
        <v>68</v>
      </c>
      <c r="E37" s="23" t="s">
        <v>69</v>
      </c>
      <c r="F37" s="23" t="s">
        <v>70</v>
      </c>
      <c r="G37" s="23" t="s">
        <v>71</v>
      </c>
      <c r="H37" s="23" t="s">
        <v>72</v>
      </c>
      <c r="I37" s="23" t="s">
        <v>73</v>
      </c>
      <c r="K37" s="23" t="s">
        <v>65</v>
      </c>
      <c r="L37" s="23" t="s">
        <v>66</v>
      </c>
      <c r="M37" s="23" t="s">
        <v>67</v>
      </c>
      <c r="N37" s="23" t="s">
        <v>68</v>
      </c>
      <c r="O37" s="23" t="s">
        <v>69</v>
      </c>
      <c r="P37" s="23" t="s">
        <v>70</v>
      </c>
      <c r="Q37" s="23" t="s">
        <v>71</v>
      </c>
      <c r="R37" s="23" t="s">
        <v>72</v>
      </c>
      <c r="S37" s="23" t="s">
        <v>73</v>
      </c>
    </row>
    <row r="38" spans="1:19" ht="15" thickBot="1" x14ac:dyDescent="0.35">
      <c r="A38" s="24" t="s">
        <v>87</v>
      </c>
      <c r="B38" s="25" t="s">
        <v>82</v>
      </c>
      <c r="C38" s="25">
        <v>16</v>
      </c>
      <c r="D38" s="25">
        <v>10</v>
      </c>
      <c r="E38" s="25" t="s">
        <v>88</v>
      </c>
      <c r="F38" s="25">
        <v>88</v>
      </c>
      <c r="G38" s="25">
        <v>92</v>
      </c>
      <c r="H38" s="25">
        <v>96</v>
      </c>
      <c r="I38" s="24" t="s">
        <v>89</v>
      </c>
      <c r="K38" s="24" t="s">
        <v>74</v>
      </c>
      <c r="L38" s="25" t="s">
        <v>75</v>
      </c>
      <c r="M38" s="25">
        <v>16</v>
      </c>
      <c r="N38" s="25">
        <v>10</v>
      </c>
      <c r="O38" s="25" t="s">
        <v>76</v>
      </c>
      <c r="P38" s="25">
        <v>84</v>
      </c>
      <c r="Q38" s="25">
        <v>79</v>
      </c>
      <c r="R38" s="25">
        <v>99</v>
      </c>
      <c r="S38" s="24" t="s">
        <v>77</v>
      </c>
    </row>
    <row r="39" spans="1:19" ht="15" thickBot="1" x14ac:dyDescent="0.35">
      <c r="A39" s="26" t="s">
        <v>94</v>
      </c>
      <c r="B39" s="27" t="s">
        <v>75</v>
      </c>
      <c r="C39" s="27">
        <v>15</v>
      </c>
      <c r="D39" s="27">
        <v>9</v>
      </c>
      <c r="E39" s="27" t="s">
        <v>88</v>
      </c>
      <c r="F39" s="27">
        <v>87</v>
      </c>
      <c r="G39" s="27">
        <v>89</v>
      </c>
      <c r="H39" s="27">
        <v>96</v>
      </c>
      <c r="I39" s="26" t="s">
        <v>95</v>
      </c>
      <c r="K39" s="26" t="s">
        <v>85</v>
      </c>
      <c r="L39" s="27" t="s">
        <v>75</v>
      </c>
      <c r="M39" s="27">
        <v>14</v>
      </c>
      <c r="N39" s="27">
        <v>8</v>
      </c>
      <c r="O39" s="27" t="s">
        <v>76</v>
      </c>
      <c r="P39" s="27">
        <v>70</v>
      </c>
      <c r="Q39" s="27">
        <v>75</v>
      </c>
      <c r="R39" s="27">
        <v>79</v>
      </c>
      <c r="S39" s="26" t="s">
        <v>86</v>
      </c>
    </row>
    <row r="40" spans="1:19" ht="15" thickBot="1" x14ac:dyDescent="0.35">
      <c r="A40" s="24" t="s">
        <v>100</v>
      </c>
      <c r="B40" s="25" t="s">
        <v>75</v>
      </c>
      <c r="C40" s="25">
        <v>16</v>
      </c>
      <c r="D40" s="25">
        <v>10</v>
      </c>
      <c r="E40" s="25" t="s">
        <v>88</v>
      </c>
      <c r="F40" s="25">
        <v>86</v>
      </c>
      <c r="G40" s="25">
        <v>81</v>
      </c>
      <c r="H40" s="25">
        <v>77</v>
      </c>
      <c r="I40" s="24" t="s">
        <v>101</v>
      </c>
      <c r="K40" s="26" t="s">
        <v>90</v>
      </c>
      <c r="L40" s="27" t="s">
        <v>75</v>
      </c>
      <c r="M40" s="27">
        <v>16</v>
      </c>
      <c r="N40" s="27">
        <v>10</v>
      </c>
      <c r="O40" s="27" t="s">
        <v>76</v>
      </c>
      <c r="P40" s="27">
        <v>82</v>
      </c>
      <c r="Q40" s="27">
        <v>81</v>
      </c>
      <c r="R40" s="27">
        <v>80</v>
      </c>
      <c r="S40" s="26" t="s">
        <v>91</v>
      </c>
    </row>
    <row r="41" spans="1:19" ht="15" thickBot="1" x14ac:dyDescent="0.35">
      <c r="A41" s="26" t="s">
        <v>106</v>
      </c>
      <c r="B41" s="27" t="s">
        <v>82</v>
      </c>
      <c r="C41" s="27">
        <v>14</v>
      </c>
      <c r="D41" s="27">
        <v>8</v>
      </c>
      <c r="E41" s="27" t="s">
        <v>88</v>
      </c>
      <c r="F41" s="27">
        <v>91</v>
      </c>
      <c r="G41" s="27">
        <v>96</v>
      </c>
      <c r="H41" s="27">
        <v>98</v>
      </c>
      <c r="I41" s="26" t="s">
        <v>107</v>
      </c>
      <c r="K41" s="24" t="s">
        <v>104</v>
      </c>
      <c r="L41" s="25" t="s">
        <v>82</v>
      </c>
      <c r="M41" s="25">
        <v>16</v>
      </c>
      <c r="N41" s="25">
        <v>10</v>
      </c>
      <c r="O41" s="25" t="s">
        <v>76</v>
      </c>
      <c r="P41" s="25">
        <v>70</v>
      </c>
      <c r="Q41" s="25">
        <v>87</v>
      </c>
      <c r="R41" s="25">
        <v>85</v>
      </c>
      <c r="S41" s="24" t="s">
        <v>105</v>
      </c>
    </row>
    <row r="47" spans="1:19" x14ac:dyDescent="0.3">
      <c r="A47" s="29" t="s">
        <v>64</v>
      </c>
      <c r="B47" s="29"/>
      <c r="C47" s="29"/>
      <c r="D47" s="29"/>
      <c r="E47" s="29"/>
      <c r="F47" s="29"/>
      <c r="G47" s="29"/>
      <c r="H47" s="29"/>
      <c r="I47" s="29"/>
      <c r="K47" s="29" t="s">
        <v>64</v>
      </c>
      <c r="L47" s="29"/>
      <c r="M47" s="29"/>
      <c r="N47" s="29"/>
      <c r="O47" s="29"/>
      <c r="P47" s="29"/>
      <c r="Q47" s="29"/>
      <c r="R47" s="29"/>
      <c r="S47" s="29"/>
    </row>
    <row r="48" spans="1:19" ht="15" thickBot="1" x14ac:dyDescent="0.35">
      <c r="A48" s="28"/>
      <c r="B48" s="28"/>
      <c r="C48" s="28"/>
      <c r="D48" s="28"/>
      <c r="E48" s="28"/>
      <c r="F48" s="28"/>
      <c r="G48" s="28"/>
      <c r="H48" s="28"/>
      <c r="I48" s="28"/>
      <c r="K48" s="28"/>
      <c r="L48" s="28"/>
      <c r="M48" s="28"/>
      <c r="N48" s="28"/>
      <c r="O48" s="28"/>
      <c r="P48" s="28"/>
      <c r="Q48" s="28"/>
      <c r="R48" s="28"/>
      <c r="S48" s="28"/>
    </row>
    <row r="49" spans="1:19" ht="15" thickBot="1" x14ac:dyDescent="0.35">
      <c r="A49" s="23" t="s">
        <v>65</v>
      </c>
      <c r="B49" s="23" t="s">
        <v>66</v>
      </c>
      <c r="C49" s="23" t="s">
        <v>67</v>
      </c>
      <c r="D49" s="23" t="s">
        <v>68</v>
      </c>
      <c r="E49" s="23" t="s">
        <v>69</v>
      </c>
      <c r="F49" s="23" t="s">
        <v>70</v>
      </c>
      <c r="G49" s="23" t="s">
        <v>71</v>
      </c>
      <c r="H49" s="23" t="s">
        <v>72</v>
      </c>
      <c r="I49" s="23" t="s">
        <v>73</v>
      </c>
      <c r="K49" s="23" t="s">
        <v>65</v>
      </c>
      <c r="L49" s="23" t="s">
        <v>66</v>
      </c>
      <c r="M49" s="23" t="s">
        <v>67</v>
      </c>
      <c r="N49" s="23" t="s">
        <v>68</v>
      </c>
      <c r="O49" s="23" t="s">
        <v>69</v>
      </c>
      <c r="P49" s="23" t="s">
        <v>70</v>
      </c>
      <c r="Q49" s="23" t="s">
        <v>71</v>
      </c>
      <c r="R49" s="23" t="s">
        <v>72</v>
      </c>
      <c r="S49" s="23" t="s">
        <v>73</v>
      </c>
    </row>
    <row r="50" spans="1:19" ht="15" thickBot="1" x14ac:dyDescent="0.35">
      <c r="A50" s="24" t="s">
        <v>81</v>
      </c>
      <c r="B50" s="25" t="s">
        <v>82</v>
      </c>
      <c r="C50" s="25">
        <v>15</v>
      </c>
      <c r="D50" s="25">
        <v>8</v>
      </c>
      <c r="E50" s="25" t="s">
        <v>83</v>
      </c>
      <c r="F50" s="25">
        <v>81</v>
      </c>
      <c r="G50" s="25">
        <v>78</v>
      </c>
      <c r="H50" s="25">
        <v>88</v>
      </c>
      <c r="I50" s="24" t="s">
        <v>84</v>
      </c>
      <c r="K50" s="26" t="s">
        <v>78</v>
      </c>
      <c r="L50" s="27" t="s">
        <v>75</v>
      </c>
      <c r="M50" s="27">
        <v>11</v>
      </c>
      <c r="N50" s="27">
        <v>5</v>
      </c>
      <c r="O50" s="27" t="s">
        <v>79</v>
      </c>
      <c r="P50" s="27">
        <v>82</v>
      </c>
      <c r="Q50" s="27">
        <v>83</v>
      </c>
      <c r="R50" s="27">
        <v>91</v>
      </c>
      <c r="S50" s="26" t="s">
        <v>80</v>
      </c>
    </row>
    <row r="51" spans="1:19" ht="15" thickBot="1" x14ac:dyDescent="0.35">
      <c r="A51" s="26" t="s">
        <v>98</v>
      </c>
      <c r="B51" s="27" t="s">
        <v>75</v>
      </c>
      <c r="C51" s="27">
        <v>12</v>
      </c>
      <c r="D51" s="27">
        <v>7</v>
      </c>
      <c r="E51" s="27" t="s">
        <v>83</v>
      </c>
      <c r="F51" s="27">
        <v>86</v>
      </c>
      <c r="G51" s="27">
        <v>92</v>
      </c>
      <c r="H51" s="27">
        <v>89</v>
      </c>
      <c r="I51" s="26" t="s">
        <v>99</v>
      </c>
      <c r="K51" s="24" t="s">
        <v>92</v>
      </c>
      <c r="L51" s="25" t="s">
        <v>82</v>
      </c>
      <c r="M51" s="25">
        <v>14</v>
      </c>
      <c r="N51" s="25">
        <v>8</v>
      </c>
      <c r="O51" s="25" t="s">
        <v>79</v>
      </c>
      <c r="P51" s="25">
        <v>90</v>
      </c>
      <c r="Q51" s="25">
        <v>86</v>
      </c>
      <c r="R51" s="25">
        <v>89</v>
      </c>
      <c r="S51" s="24" t="s">
        <v>93</v>
      </c>
    </row>
    <row r="52" spans="1:19" ht="15" thickBot="1" x14ac:dyDescent="0.35">
      <c r="A52" s="26" t="s">
        <v>102</v>
      </c>
      <c r="B52" s="27" t="s">
        <v>82</v>
      </c>
      <c r="C52" s="27">
        <v>16</v>
      </c>
      <c r="D52" s="27">
        <v>10</v>
      </c>
      <c r="E52" s="27" t="s">
        <v>83</v>
      </c>
      <c r="F52" s="27">
        <v>81</v>
      </c>
      <c r="G52" s="27">
        <v>80</v>
      </c>
      <c r="H52" s="27">
        <v>87</v>
      </c>
      <c r="I52" s="26" t="s">
        <v>103</v>
      </c>
      <c r="K52" s="24" t="s">
        <v>96</v>
      </c>
      <c r="L52" s="25" t="s">
        <v>82</v>
      </c>
      <c r="M52" s="25">
        <v>17</v>
      </c>
      <c r="N52" s="25">
        <v>10</v>
      </c>
      <c r="O52" s="25" t="s">
        <v>79</v>
      </c>
      <c r="P52" s="25">
        <v>70</v>
      </c>
      <c r="Q52" s="25">
        <v>90</v>
      </c>
      <c r="R52" s="25">
        <v>92</v>
      </c>
      <c r="S52" s="24" t="s">
        <v>97</v>
      </c>
    </row>
  </sheetData>
  <sortState xmlns:xlrd2="http://schemas.microsoft.com/office/spreadsheetml/2017/richdata2" ref="A4:I17">
    <sortCondition ref="C4:C17"/>
    <sortCondition descending="1" ref="H4:H17"/>
  </sortState>
  <mergeCells count="7">
    <mergeCell ref="A47:I48"/>
    <mergeCell ref="K47:S48"/>
    <mergeCell ref="A1:I2"/>
    <mergeCell ref="N1:V2"/>
    <mergeCell ref="N16:V17"/>
    <mergeCell ref="A35:I36"/>
    <mergeCell ref="K35:S36"/>
  </mergeCells>
  <hyperlinks>
    <hyperlink ref="E3" location="Houses!A1" display="House" xr:uid="{FB01C758-54B9-4740-9102-DD6F112369E0}"/>
  </hyperlink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B5D6F-B6CB-4480-8095-2A8C8E8035C6}">
  <sheetPr>
    <tabColor rgb="FF00B0F0"/>
  </sheetPr>
  <dimension ref="A1:S18"/>
  <sheetViews>
    <sheetView workbookViewId="0">
      <selection activeCell="I26" sqref="I26"/>
    </sheetView>
  </sheetViews>
  <sheetFormatPr defaultRowHeight="14.4" x14ac:dyDescent="0.3"/>
  <cols>
    <col min="1" max="1" width="7.6640625" bestFit="1" customWidth="1"/>
    <col min="2" max="2" width="7.109375" bestFit="1" customWidth="1"/>
    <col min="3" max="3" width="4.21875" bestFit="1" customWidth="1"/>
    <col min="4" max="4" width="5.109375" bestFit="1" customWidth="1"/>
    <col min="5" max="5" width="6.21875" bestFit="1" customWidth="1"/>
    <col min="6" max="7" width="9.88671875" bestFit="1" customWidth="1"/>
    <col min="8" max="8" width="8.77734375" bestFit="1" customWidth="1"/>
    <col min="9" max="9" width="17.21875" bestFit="1" customWidth="1"/>
    <col min="11" max="11" width="10" bestFit="1" customWidth="1"/>
    <col min="12" max="12" width="7.109375" bestFit="1" customWidth="1"/>
    <col min="13" max="13" width="4.21875" bestFit="1" customWidth="1"/>
    <col min="14" max="14" width="5.109375" bestFit="1" customWidth="1"/>
    <col min="15" max="15" width="7.33203125" bestFit="1" customWidth="1"/>
    <col min="16" max="17" width="9.88671875" bestFit="1" customWidth="1"/>
    <col min="18" max="18" width="8.77734375" bestFit="1" customWidth="1"/>
    <col min="19" max="19" width="19.5546875" bestFit="1" customWidth="1"/>
  </cols>
  <sheetData>
    <row r="1" spans="1:19" x14ac:dyDescent="0.3">
      <c r="A1" s="29" t="s">
        <v>64</v>
      </c>
      <c r="B1" s="29"/>
      <c r="C1" s="29"/>
      <c r="D1" s="29"/>
      <c r="E1" s="29"/>
      <c r="F1" s="29"/>
      <c r="G1" s="29"/>
      <c r="H1" s="29"/>
      <c r="I1" s="29"/>
      <c r="K1" s="29" t="s">
        <v>64</v>
      </c>
      <c r="L1" s="29"/>
      <c r="M1" s="29"/>
      <c r="N1" s="29"/>
      <c r="O1" s="29"/>
      <c r="P1" s="29"/>
      <c r="Q1" s="29"/>
      <c r="R1" s="29"/>
      <c r="S1" s="29"/>
    </row>
    <row r="2" spans="1:19" ht="15" thickBot="1" x14ac:dyDescent="0.35">
      <c r="A2" s="28"/>
      <c r="B2" s="28"/>
      <c r="C2" s="28"/>
      <c r="D2" s="28"/>
      <c r="E2" s="28"/>
      <c r="F2" s="28"/>
      <c r="G2" s="28"/>
      <c r="H2" s="28"/>
      <c r="I2" s="28"/>
      <c r="K2" s="28"/>
      <c r="L2" s="28"/>
      <c r="M2" s="28"/>
      <c r="N2" s="28"/>
      <c r="O2" s="28"/>
      <c r="P2" s="28"/>
      <c r="Q2" s="28"/>
      <c r="R2" s="28"/>
      <c r="S2" s="28"/>
    </row>
    <row r="3" spans="1:19" ht="15" thickBot="1" x14ac:dyDescent="0.35">
      <c r="A3" s="23" t="s">
        <v>65</v>
      </c>
      <c r="B3" s="23" t="s">
        <v>66</v>
      </c>
      <c r="C3" s="23" t="s">
        <v>67</v>
      </c>
      <c r="D3" s="23" t="s">
        <v>68</v>
      </c>
      <c r="E3" s="23" t="s">
        <v>69</v>
      </c>
      <c r="F3" s="23" t="s">
        <v>70</v>
      </c>
      <c r="G3" s="23" t="s">
        <v>71</v>
      </c>
      <c r="H3" s="23" t="s">
        <v>72</v>
      </c>
      <c r="I3" s="23" t="s">
        <v>73</v>
      </c>
      <c r="K3" s="23" t="s">
        <v>65</v>
      </c>
      <c r="L3" s="23" t="s">
        <v>66</v>
      </c>
      <c r="M3" s="23" t="s">
        <v>67</v>
      </c>
      <c r="N3" s="23" t="s">
        <v>68</v>
      </c>
      <c r="O3" s="23" t="s">
        <v>69</v>
      </c>
      <c r="P3" s="23" t="s">
        <v>70</v>
      </c>
      <c r="Q3" s="23" t="s">
        <v>71</v>
      </c>
      <c r="R3" s="23" t="s">
        <v>72</v>
      </c>
      <c r="S3" s="23" t="s">
        <v>73</v>
      </c>
    </row>
    <row r="4" spans="1:19" ht="15" thickBot="1" x14ac:dyDescent="0.35">
      <c r="A4" s="24" t="s">
        <v>87</v>
      </c>
      <c r="B4" s="25" t="s">
        <v>82</v>
      </c>
      <c r="C4" s="25">
        <v>16</v>
      </c>
      <c r="D4" s="25">
        <v>10</v>
      </c>
      <c r="E4" s="25" t="s">
        <v>88</v>
      </c>
      <c r="F4" s="25">
        <v>88</v>
      </c>
      <c r="G4" s="25">
        <v>92</v>
      </c>
      <c r="H4" s="25">
        <v>96</v>
      </c>
      <c r="I4" s="24" t="s">
        <v>89</v>
      </c>
      <c r="K4" s="24" t="s">
        <v>74</v>
      </c>
      <c r="L4" s="25" t="s">
        <v>75</v>
      </c>
      <c r="M4" s="25">
        <v>16</v>
      </c>
      <c r="N4" s="25">
        <v>10</v>
      </c>
      <c r="O4" s="25" t="s">
        <v>76</v>
      </c>
      <c r="P4" s="25">
        <v>84</v>
      </c>
      <c r="Q4" s="25">
        <v>79</v>
      </c>
      <c r="R4" s="25">
        <v>99</v>
      </c>
      <c r="S4" s="24" t="s">
        <v>77</v>
      </c>
    </row>
    <row r="5" spans="1:19" ht="15" thickBot="1" x14ac:dyDescent="0.35">
      <c r="A5" s="26" t="s">
        <v>94</v>
      </c>
      <c r="B5" s="27" t="s">
        <v>75</v>
      </c>
      <c r="C5" s="27">
        <v>15</v>
      </c>
      <c r="D5" s="27">
        <v>9</v>
      </c>
      <c r="E5" s="27" t="s">
        <v>88</v>
      </c>
      <c r="F5" s="27">
        <v>87</v>
      </c>
      <c r="G5" s="27">
        <v>89</v>
      </c>
      <c r="H5" s="27">
        <v>96</v>
      </c>
      <c r="I5" s="26" t="s">
        <v>95</v>
      </c>
      <c r="K5" s="26" t="s">
        <v>85</v>
      </c>
      <c r="L5" s="27" t="s">
        <v>75</v>
      </c>
      <c r="M5" s="27">
        <v>14</v>
      </c>
      <c r="N5" s="27">
        <v>8</v>
      </c>
      <c r="O5" s="27" t="s">
        <v>76</v>
      </c>
      <c r="P5" s="27">
        <v>70</v>
      </c>
      <c r="Q5" s="27">
        <v>75</v>
      </c>
      <c r="R5" s="27">
        <v>79</v>
      </c>
      <c r="S5" s="26" t="s">
        <v>86</v>
      </c>
    </row>
    <row r="6" spans="1:19" ht="15" thickBot="1" x14ac:dyDescent="0.35">
      <c r="A6" s="24" t="s">
        <v>100</v>
      </c>
      <c r="B6" s="25" t="s">
        <v>75</v>
      </c>
      <c r="C6" s="25">
        <v>16</v>
      </c>
      <c r="D6" s="25">
        <v>10</v>
      </c>
      <c r="E6" s="25" t="s">
        <v>88</v>
      </c>
      <c r="F6" s="25">
        <v>86</v>
      </c>
      <c r="G6" s="25">
        <v>81</v>
      </c>
      <c r="H6" s="25">
        <v>77</v>
      </c>
      <c r="I6" s="24" t="s">
        <v>101</v>
      </c>
      <c r="K6" s="26" t="s">
        <v>90</v>
      </c>
      <c r="L6" s="27" t="s">
        <v>75</v>
      </c>
      <c r="M6" s="27">
        <v>16</v>
      </c>
      <c r="N6" s="27">
        <v>10</v>
      </c>
      <c r="O6" s="27" t="s">
        <v>76</v>
      </c>
      <c r="P6" s="27">
        <v>82</v>
      </c>
      <c r="Q6" s="27">
        <v>81</v>
      </c>
      <c r="R6" s="27">
        <v>80</v>
      </c>
      <c r="S6" s="26" t="s">
        <v>91</v>
      </c>
    </row>
    <row r="7" spans="1:19" ht="15" thickBot="1" x14ac:dyDescent="0.35">
      <c r="A7" s="26" t="s">
        <v>106</v>
      </c>
      <c r="B7" s="27" t="s">
        <v>82</v>
      </c>
      <c r="C7" s="27">
        <v>14</v>
      </c>
      <c r="D7" s="27">
        <v>8</v>
      </c>
      <c r="E7" s="27" t="s">
        <v>88</v>
      </c>
      <c r="F7" s="27">
        <v>91</v>
      </c>
      <c r="G7" s="27">
        <v>96</v>
      </c>
      <c r="H7" s="27">
        <v>98</v>
      </c>
      <c r="I7" s="26" t="s">
        <v>107</v>
      </c>
      <c r="K7" s="24" t="s">
        <v>104</v>
      </c>
      <c r="L7" s="25" t="s">
        <v>82</v>
      </c>
      <c r="M7" s="25">
        <v>16</v>
      </c>
      <c r="N7" s="25">
        <v>10</v>
      </c>
      <c r="O7" s="25" t="s">
        <v>76</v>
      </c>
      <c r="P7" s="25">
        <v>70</v>
      </c>
      <c r="Q7" s="25">
        <v>87</v>
      </c>
      <c r="R7" s="25">
        <v>85</v>
      </c>
      <c r="S7" s="24" t="s">
        <v>105</v>
      </c>
    </row>
    <row r="13" spans="1:19" x14ac:dyDescent="0.3">
      <c r="A13" s="29" t="s">
        <v>64</v>
      </c>
      <c r="B13" s="29"/>
      <c r="C13" s="29"/>
      <c r="D13" s="29"/>
      <c r="E13" s="29"/>
      <c r="F13" s="29"/>
      <c r="G13" s="29"/>
      <c r="H13" s="29"/>
      <c r="I13" s="29"/>
      <c r="K13" s="29" t="s">
        <v>64</v>
      </c>
      <c r="L13" s="29"/>
      <c r="M13" s="29"/>
      <c r="N13" s="29"/>
      <c r="O13" s="29"/>
      <c r="P13" s="29"/>
      <c r="Q13" s="29"/>
      <c r="R13" s="29"/>
      <c r="S13" s="29"/>
    </row>
    <row r="14" spans="1:19" ht="15" thickBot="1" x14ac:dyDescent="0.35">
      <c r="A14" s="28"/>
      <c r="B14" s="28"/>
      <c r="C14" s="28"/>
      <c r="D14" s="28"/>
      <c r="E14" s="28"/>
      <c r="F14" s="28"/>
      <c r="G14" s="28"/>
      <c r="H14" s="28"/>
      <c r="I14" s="28"/>
      <c r="K14" s="28"/>
      <c r="L14" s="28"/>
      <c r="M14" s="28"/>
      <c r="N14" s="28"/>
      <c r="O14" s="28"/>
      <c r="P14" s="28"/>
      <c r="Q14" s="28"/>
      <c r="R14" s="28"/>
      <c r="S14" s="28"/>
    </row>
    <row r="15" spans="1:19" ht="15" thickBot="1" x14ac:dyDescent="0.35">
      <c r="A15" s="23" t="s">
        <v>65</v>
      </c>
      <c r="B15" s="23" t="s">
        <v>66</v>
      </c>
      <c r="C15" s="23" t="s">
        <v>67</v>
      </c>
      <c r="D15" s="23" t="s">
        <v>68</v>
      </c>
      <c r="E15" s="23" t="s">
        <v>69</v>
      </c>
      <c r="F15" s="23" t="s">
        <v>70</v>
      </c>
      <c r="G15" s="23" t="s">
        <v>71</v>
      </c>
      <c r="H15" s="23" t="s">
        <v>72</v>
      </c>
      <c r="I15" s="23" t="s">
        <v>73</v>
      </c>
      <c r="K15" s="23" t="s">
        <v>65</v>
      </c>
      <c r="L15" s="23" t="s">
        <v>66</v>
      </c>
      <c r="M15" s="23" t="s">
        <v>67</v>
      </c>
      <c r="N15" s="23" t="s">
        <v>68</v>
      </c>
      <c r="O15" s="23" t="s">
        <v>69</v>
      </c>
      <c r="P15" s="23" t="s">
        <v>70</v>
      </c>
      <c r="Q15" s="23" t="s">
        <v>71</v>
      </c>
      <c r="R15" s="23" t="s">
        <v>72</v>
      </c>
      <c r="S15" s="23" t="s">
        <v>73</v>
      </c>
    </row>
    <row r="16" spans="1:19" ht="15" thickBot="1" x14ac:dyDescent="0.35">
      <c r="A16" s="24" t="s">
        <v>81</v>
      </c>
      <c r="B16" s="25" t="s">
        <v>82</v>
      </c>
      <c r="C16" s="25">
        <v>15</v>
      </c>
      <c r="D16" s="25">
        <v>8</v>
      </c>
      <c r="E16" s="25" t="s">
        <v>83</v>
      </c>
      <c r="F16" s="25">
        <v>81</v>
      </c>
      <c r="G16" s="25">
        <v>78</v>
      </c>
      <c r="H16" s="25">
        <v>88</v>
      </c>
      <c r="I16" s="24" t="s">
        <v>84</v>
      </c>
      <c r="K16" s="26" t="s">
        <v>78</v>
      </c>
      <c r="L16" s="27" t="s">
        <v>75</v>
      </c>
      <c r="M16" s="27">
        <v>11</v>
      </c>
      <c r="N16" s="27">
        <v>5</v>
      </c>
      <c r="O16" s="27" t="s">
        <v>79</v>
      </c>
      <c r="P16" s="27">
        <v>82</v>
      </c>
      <c r="Q16" s="27">
        <v>83</v>
      </c>
      <c r="R16" s="27">
        <v>91</v>
      </c>
      <c r="S16" s="26" t="s">
        <v>80</v>
      </c>
    </row>
    <row r="17" spans="1:19" ht="15" thickBot="1" x14ac:dyDescent="0.35">
      <c r="A17" s="26" t="s">
        <v>98</v>
      </c>
      <c r="B17" s="27" t="s">
        <v>75</v>
      </c>
      <c r="C17" s="27">
        <v>12</v>
      </c>
      <c r="D17" s="27">
        <v>7</v>
      </c>
      <c r="E17" s="27" t="s">
        <v>83</v>
      </c>
      <c r="F17" s="27">
        <v>86</v>
      </c>
      <c r="G17" s="27">
        <v>92</v>
      </c>
      <c r="H17" s="27">
        <v>89</v>
      </c>
      <c r="I17" s="26" t="s">
        <v>99</v>
      </c>
      <c r="K17" s="24" t="s">
        <v>92</v>
      </c>
      <c r="L17" s="25" t="s">
        <v>82</v>
      </c>
      <c r="M17" s="25">
        <v>14</v>
      </c>
      <c r="N17" s="25">
        <v>8</v>
      </c>
      <c r="O17" s="25" t="s">
        <v>79</v>
      </c>
      <c r="P17" s="25">
        <v>90</v>
      </c>
      <c r="Q17" s="25">
        <v>86</v>
      </c>
      <c r="R17" s="25">
        <v>89</v>
      </c>
      <c r="S17" s="24" t="s">
        <v>93</v>
      </c>
    </row>
    <row r="18" spans="1:19" ht="15" thickBot="1" x14ac:dyDescent="0.35">
      <c r="A18" s="26" t="s">
        <v>102</v>
      </c>
      <c r="B18" s="27" t="s">
        <v>82</v>
      </c>
      <c r="C18" s="27">
        <v>16</v>
      </c>
      <c r="D18" s="27">
        <v>10</v>
      </c>
      <c r="E18" s="27" t="s">
        <v>83</v>
      </c>
      <c r="F18" s="27">
        <v>81</v>
      </c>
      <c r="G18" s="27">
        <v>80</v>
      </c>
      <c r="H18" s="27">
        <v>87</v>
      </c>
      <c r="I18" s="26" t="s">
        <v>103</v>
      </c>
      <c r="K18" s="24" t="s">
        <v>96</v>
      </c>
      <c r="L18" s="25" t="s">
        <v>82</v>
      </c>
      <c r="M18" s="25">
        <v>17</v>
      </c>
      <c r="N18" s="25">
        <v>10</v>
      </c>
      <c r="O18" s="25" t="s">
        <v>79</v>
      </c>
      <c r="P18" s="25">
        <v>70</v>
      </c>
      <c r="Q18" s="25">
        <v>90</v>
      </c>
      <c r="R18" s="25">
        <v>92</v>
      </c>
      <c r="S18" s="24" t="s">
        <v>97</v>
      </c>
    </row>
  </sheetData>
  <mergeCells count="4">
    <mergeCell ref="A1:I2"/>
    <mergeCell ref="K1:S2"/>
    <mergeCell ref="A13:I14"/>
    <mergeCell ref="K13:S1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7F9BC-219D-4B46-82C4-5EBB72D5A12A}">
  <sheetPr>
    <tabColor theme="4" tint="-0.499984740745262"/>
  </sheetPr>
  <dimension ref="A1:J8"/>
  <sheetViews>
    <sheetView workbookViewId="0">
      <selection activeCell="I3" sqref="I3"/>
    </sheetView>
  </sheetViews>
  <sheetFormatPr defaultRowHeight="14.4" x14ac:dyDescent="0.3"/>
  <cols>
    <col min="7" max="7" width="9" customWidth="1"/>
    <col min="9" max="9" width="20.21875" bestFit="1" customWidth="1"/>
    <col min="10" max="10" width="9.77734375" bestFit="1" customWidth="1"/>
    <col min="11" max="11" width="9.44140625" bestFit="1" customWidth="1"/>
  </cols>
  <sheetData>
    <row r="1" spans="1:10" x14ac:dyDescent="0.3">
      <c r="A1" s="41" t="s">
        <v>108</v>
      </c>
      <c r="C1" s="42" t="s">
        <v>65</v>
      </c>
      <c r="D1" s="42" t="s">
        <v>108</v>
      </c>
      <c r="E1" s="42" t="s">
        <v>66</v>
      </c>
      <c r="G1" t="s">
        <v>66</v>
      </c>
      <c r="I1" s="42" t="s">
        <v>126</v>
      </c>
      <c r="J1" s="42" t="s">
        <v>125</v>
      </c>
    </row>
    <row r="2" spans="1:10" x14ac:dyDescent="0.3">
      <c r="A2" s="2" t="s">
        <v>109</v>
      </c>
      <c r="C2" s="43" t="s">
        <v>112</v>
      </c>
      <c r="D2" s="43" t="s">
        <v>109</v>
      </c>
      <c r="E2" s="43" t="s">
        <v>75</v>
      </c>
      <c r="G2" t="s">
        <v>75</v>
      </c>
      <c r="I2" s="43" t="s">
        <v>112</v>
      </c>
      <c r="J2" s="43" t="s">
        <v>119</v>
      </c>
    </row>
    <row r="3" spans="1:10" x14ac:dyDescent="0.3">
      <c r="A3" s="2" t="s">
        <v>110</v>
      </c>
      <c r="C3" s="43" t="s">
        <v>113</v>
      </c>
      <c r="D3" s="43" t="s">
        <v>110</v>
      </c>
      <c r="E3" s="43" t="s">
        <v>75</v>
      </c>
      <c r="G3" t="s">
        <v>82</v>
      </c>
      <c r="I3" s="43" t="s">
        <v>113</v>
      </c>
      <c r="J3" s="43" t="s">
        <v>120</v>
      </c>
    </row>
    <row r="4" spans="1:10" x14ac:dyDescent="0.3">
      <c r="A4" s="2" t="s">
        <v>111</v>
      </c>
      <c r="C4" s="43" t="s">
        <v>114</v>
      </c>
      <c r="D4" s="43" t="s">
        <v>109</v>
      </c>
      <c r="E4" s="43" t="s">
        <v>75</v>
      </c>
      <c r="I4" s="43" t="s">
        <v>121</v>
      </c>
      <c r="J4" s="43" t="s">
        <v>122</v>
      </c>
    </row>
    <row r="5" spans="1:10" x14ac:dyDescent="0.3">
      <c r="C5" s="43" t="s">
        <v>115</v>
      </c>
      <c r="D5" s="43" t="s">
        <v>111</v>
      </c>
      <c r="E5" s="43" t="s">
        <v>75</v>
      </c>
      <c r="I5" s="43" t="s">
        <v>123</v>
      </c>
      <c r="J5" s="43" t="s">
        <v>124</v>
      </c>
    </row>
    <row r="6" spans="1:10" x14ac:dyDescent="0.3">
      <c r="C6" s="43" t="s">
        <v>116</v>
      </c>
      <c r="D6" s="43" t="s">
        <v>111</v>
      </c>
      <c r="E6" s="43" t="s">
        <v>82</v>
      </c>
      <c r="I6" s="43" t="s">
        <v>114</v>
      </c>
      <c r="J6" s="43" t="s">
        <v>119</v>
      </c>
    </row>
    <row r="7" spans="1:10" x14ac:dyDescent="0.3">
      <c r="C7" s="43" t="s">
        <v>117</v>
      </c>
      <c r="D7" s="43" t="s">
        <v>111</v>
      </c>
      <c r="E7" s="43" t="s">
        <v>82</v>
      </c>
    </row>
    <row r="8" spans="1:10" x14ac:dyDescent="0.3">
      <c r="C8" s="43" t="s">
        <v>118</v>
      </c>
      <c r="D8" s="43" t="s">
        <v>111</v>
      </c>
      <c r="E8" s="43" t="s">
        <v>82</v>
      </c>
    </row>
  </sheetData>
  <dataValidations count="2">
    <dataValidation type="list" allowBlank="1" showInputMessage="1" showErrorMessage="1" sqref="A1 D2:D8" xr:uid="{41D09ED4-F602-4755-BEE7-BAE8BD8785EE}">
      <formula1>$A$2:$A$4</formula1>
    </dataValidation>
    <dataValidation type="list" allowBlank="1" showInputMessage="1" showErrorMessage="1" sqref="E2:E8" xr:uid="{8392BED8-75D3-406F-B86F-35D653340B30}">
      <formula1>$G$2:$G$3</formula1>
    </dataValidation>
  </dataValidation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47039-7842-4BAC-8E27-B9954DD63B96}">
  <sheetPr>
    <tabColor theme="2" tint="-0.749992370372631"/>
  </sheetPr>
  <dimension ref="A1:B15"/>
  <sheetViews>
    <sheetView workbookViewId="0">
      <selection activeCell="L22" sqref="L22"/>
    </sheetView>
  </sheetViews>
  <sheetFormatPr defaultRowHeight="14.4" x14ac:dyDescent="0.3"/>
  <cols>
    <col min="1" max="1" width="10" bestFit="1" customWidth="1"/>
    <col min="2" max="2" width="8.77734375" bestFit="1" customWidth="1"/>
  </cols>
  <sheetData>
    <row r="1" spans="1:2" ht="15" thickBot="1" x14ac:dyDescent="0.35">
      <c r="A1" s="23" t="s">
        <v>65</v>
      </c>
      <c r="B1" s="23" t="s">
        <v>72</v>
      </c>
    </row>
    <row r="2" spans="1:2" ht="15" thickBot="1" x14ac:dyDescent="0.35">
      <c r="A2" s="24" t="s">
        <v>74</v>
      </c>
      <c r="B2" s="25">
        <v>99</v>
      </c>
    </row>
    <row r="3" spans="1:2" ht="15" thickBot="1" x14ac:dyDescent="0.35">
      <c r="A3" s="26" t="s">
        <v>78</v>
      </c>
      <c r="B3" s="27">
        <v>91</v>
      </c>
    </row>
    <row r="4" spans="1:2" ht="15" thickBot="1" x14ac:dyDescent="0.35">
      <c r="A4" s="24" t="s">
        <v>81</v>
      </c>
      <c r="B4" s="25">
        <v>88</v>
      </c>
    </row>
    <row r="5" spans="1:2" ht="15" thickBot="1" x14ac:dyDescent="0.35">
      <c r="A5" s="26" t="s">
        <v>85</v>
      </c>
      <c r="B5" s="27">
        <v>79</v>
      </c>
    </row>
    <row r="6" spans="1:2" ht="15" thickBot="1" x14ac:dyDescent="0.35">
      <c r="A6" s="24" t="s">
        <v>87</v>
      </c>
      <c r="B6" s="25">
        <v>96</v>
      </c>
    </row>
    <row r="7" spans="1:2" ht="15" thickBot="1" x14ac:dyDescent="0.35">
      <c r="A7" s="26" t="s">
        <v>90</v>
      </c>
      <c r="B7" s="27">
        <v>80</v>
      </c>
    </row>
    <row r="8" spans="1:2" ht="15" thickBot="1" x14ac:dyDescent="0.35">
      <c r="A8" s="24" t="s">
        <v>92</v>
      </c>
      <c r="B8" s="25">
        <v>89</v>
      </c>
    </row>
    <row r="9" spans="1:2" ht="15" thickBot="1" x14ac:dyDescent="0.35">
      <c r="A9" s="26" t="s">
        <v>94</v>
      </c>
      <c r="B9" s="27">
        <v>96</v>
      </c>
    </row>
    <row r="10" spans="1:2" ht="15" thickBot="1" x14ac:dyDescent="0.35">
      <c r="A10" s="24" t="s">
        <v>96</v>
      </c>
      <c r="B10" s="25">
        <v>92</v>
      </c>
    </row>
    <row r="11" spans="1:2" ht="15" thickBot="1" x14ac:dyDescent="0.35">
      <c r="A11" s="26" t="s">
        <v>98</v>
      </c>
      <c r="B11" s="27">
        <v>89</v>
      </c>
    </row>
    <row r="12" spans="1:2" ht="15" thickBot="1" x14ac:dyDescent="0.35">
      <c r="A12" s="24" t="s">
        <v>100</v>
      </c>
      <c r="B12" s="25">
        <v>77</v>
      </c>
    </row>
    <row r="13" spans="1:2" ht="15" thickBot="1" x14ac:dyDescent="0.35">
      <c r="A13" s="26" t="s">
        <v>102</v>
      </c>
      <c r="B13" s="27">
        <v>87</v>
      </c>
    </row>
    <row r="14" spans="1:2" ht="15" thickBot="1" x14ac:dyDescent="0.35">
      <c r="A14" s="24" t="s">
        <v>104</v>
      </c>
      <c r="B14" s="25">
        <v>85</v>
      </c>
    </row>
    <row r="15" spans="1:2" ht="15" thickBot="1" x14ac:dyDescent="0.35">
      <c r="A15" s="26" t="s">
        <v>106</v>
      </c>
      <c r="B15" s="27">
        <v>98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4C6D8-3FB7-46F6-907B-6FD8C69BA67D}">
  <sheetPr>
    <tabColor theme="1" tint="0.14999847407452621"/>
  </sheetPr>
  <dimension ref="A1:O17"/>
  <sheetViews>
    <sheetView workbookViewId="0">
      <selection activeCell="A3" sqref="A3:I17"/>
    </sheetView>
  </sheetViews>
  <sheetFormatPr defaultRowHeight="14.4" x14ac:dyDescent="0.3"/>
  <cols>
    <col min="1" max="1" width="10.44140625" bestFit="1" customWidth="1"/>
    <col min="2" max="2" width="11.5546875" bestFit="1" customWidth="1"/>
    <col min="3" max="3" width="8.6640625" bestFit="1" customWidth="1"/>
    <col min="4" max="4" width="9.5546875" bestFit="1" customWidth="1"/>
    <col min="5" max="5" width="10.6640625" bestFit="1" customWidth="1"/>
    <col min="6" max="7" width="14.33203125" bestFit="1" customWidth="1"/>
    <col min="8" max="8" width="13.21875" bestFit="1" customWidth="1"/>
    <col min="9" max="9" width="19.5546875" bestFit="1" customWidth="1"/>
  </cols>
  <sheetData>
    <row r="1" spans="1:15" x14ac:dyDescent="0.3">
      <c r="A1" s="44" t="s">
        <v>127</v>
      </c>
      <c r="B1" s="45"/>
      <c r="C1" s="45"/>
      <c r="D1" s="45"/>
      <c r="E1" s="45"/>
      <c r="F1" s="45"/>
      <c r="G1" s="45"/>
      <c r="H1" s="45"/>
      <c r="I1" s="45"/>
      <c r="J1" s="45"/>
      <c r="K1" s="45"/>
      <c r="L1" s="45"/>
      <c r="M1" s="45"/>
      <c r="N1" s="45"/>
      <c r="O1" s="45"/>
    </row>
    <row r="2" spans="1:15" ht="15" thickBot="1" x14ac:dyDescent="0.35">
      <c r="A2" s="45"/>
      <c r="B2" s="45"/>
      <c r="C2" s="45"/>
      <c r="D2" s="45"/>
      <c r="E2" s="45"/>
      <c r="F2" s="45"/>
      <c r="G2" s="45"/>
      <c r="H2" s="45"/>
      <c r="I2" s="45"/>
      <c r="J2" s="45"/>
      <c r="K2" s="45"/>
      <c r="L2" s="45"/>
      <c r="M2" s="45"/>
      <c r="N2" s="45"/>
      <c r="O2" s="45"/>
    </row>
    <row r="3" spans="1:15" ht="15" thickBot="1" x14ac:dyDescent="0.35">
      <c r="A3" s="35" t="s">
        <v>65</v>
      </c>
      <c r="B3" s="36" t="s">
        <v>66</v>
      </c>
      <c r="C3" s="36" t="s">
        <v>67</v>
      </c>
      <c r="D3" s="36" t="s">
        <v>68</v>
      </c>
      <c r="E3" s="40" t="s">
        <v>69</v>
      </c>
      <c r="F3" s="36" t="s">
        <v>70</v>
      </c>
      <c r="G3" s="36" t="s">
        <v>71</v>
      </c>
      <c r="H3" s="36" t="s">
        <v>72</v>
      </c>
      <c r="I3" s="37" t="s">
        <v>73</v>
      </c>
      <c r="K3" s="23" t="s">
        <v>65</v>
      </c>
      <c r="L3" s="23" t="s">
        <v>72</v>
      </c>
    </row>
    <row r="4" spans="1:15" ht="15" thickBot="1" x14ac:dyDescent="0.35">
      <c r="A4" s="31" t="s">
        <v>78</v>
      </c>
      <c r="B4" s="27" t="s">
        <v>75</v>
      </c>
      <c r="C4" s="27">
        <v>11</v>
      </c>
      <c r="D4" s="27">
        <v>5</v>
      </c>
      <c r="E4" s="27" t="s">
        <v>79</v>
      </c>
      <c r="F4" s="27">
        <v>82</v>
      </c>
      <c r="G4" s="27">
        <v>83</v>
      </c>
      <c r="H4" s="27">
        <v>91</v>
      </c>
      <c r="I4" s="33" t="s">
        <v>80</v>
      </c>
      <c r="K4" s="26" t="s">
        <v>85</v>
      </c>
      <c r="L4" s="27">
        <f>VLOOKUP(K4,Table26[#All],8,0)</f>
        <v>79</v>
      </c>
    </row>
    <row r="5" spans="1:15" ht="15" thickBot="1" x14ac:dyDescent="0.35">
      <c r="A5" s="31" t="s">
        <v>98</v>
      </c>
      <c r="B5" s="27" t="s">
        <v>75</v>
      </c>
      <c r="C5" s="27">
        <v>12</v>
      </c>
      <c r="D5" s="27">
        <v>7</v>
      </c>
      <c r="E5" s="27" t="s">
        <v>83</v>
      </c>
      <c r="F5" s="27">
        <v>86</v>
      </c>
      <c r="G5" s="27">
        <v>92</v>
      </c>
      <c r="H5" s="27">
        <v>89</v>
      </c>
      <c r="I5" s="33" t="s">
        <v>99</v>
      </c>
      <c r="K5" s="26" t="s">
        <v>81</v>
      </c>
      <c r="L5" s="27">
        <f>VLOOKUP(K5,Table26[#All],8,0)</f>
        <v>88</v>
      </c>
    </row>
    <row r="6" spans="1:15" ht="15" thickBot="1" x14ac:dyDescent="0.35">
      <c r="A6" s="31" t="s">
        <v>106</v>
      </c>
      <c r="B6" s="27" t="s">
        <v>82</v>
      </c>
      <c r="C6" s="27">
        <v>14</v>
      </c>
      <c r="D6" s="27">
        <v>8</v>
      </c>
      <c r="E6" s="27" t="s">
        <v>88</v>
      </c>
      <c r="F6" s="27">
        <v>91</v>
      </c>
      <c r="G6" s="27">
        <v>96</v>
      </c>
      <c r="H6" s="27">
        <v>98</v>
      </c>
      <c r="I6" s="33" t="s">
        <v>107</v>
      </c>
      <c r="K6" s="26" t="s">
        <v>87</v>
      </c>
      <c r="L6" s="27">
        <f>VLOOKUP(K6,Table26[#All],8,0)</f>
        <v>96</v>
      </c>
    </row>
    <row r="7" spans="1:15" ht="15" thickBot="1" x14ac:dyDescent="0.35">
      <c r="A7" s="32" t="s">
        <v>92</v>
      </c>
      <c r="B7" s="25" t="s">
        <v>82</v>
      </c>
      <c r="C7" s="25">
        <v>14</v>
      </c>
      <c r="D7" s="25">
        <v>8</v>
      </c>
      <c r="E7" s="25" t="s">
        <v>79</v>
      </c>
      <c r="F7" s="25">
        <v>90</v>
      </c>
      <c r="G7" s="25">
        <v>86</v>
      </c>
      <c r="H7" s="25">
        <v>89</v>
      </c>
      <c r="I7" s="34" t="s">
        <v>93</v>
      </c>
      <c r="K7" s="24" t="s">
        <v>90</v>
      </c>
      <c r="L7" s="27">
        <f>VLOOKUP(K7,Table26[#All],8,0)</f>
        <v>80</v>
      </c>
    </row>
    <row r="8" spans="1:15" ht="15" thickBot="1" x14ac:dyDescent="0.35">
      <c r="A8" s="31" t="s">
        <v>85</v>
      </c>
      <c r="B8" s="27" t="s">
        <v>75</v>
      </c>
      <c r="C8" s="27">
        <v>14</v>
      </c>
      <c r="D8" s="27">
        <v>8</v>
      </c>
      <c r="E8" s="27" t="s">
        <v>76</v>
      </c>
      <c r="F8" s="27">
        <v>70</v>
      </c>
      <c r="G8" s="27">
        <v>75</v>
      </c>
      <c r="H8" s="27">
        <v>79</v>
      </c>
      <c r="I8" s="33" t="s">
        <v>86</v>
      </c>
      <c r="K8" s="26" t="s">
        <v>96</v>
      </c>
      <c r="L8" s="27">
        <f>VLOOKUP(K8,Table26[#All],8,0)</f>
        <v>92</v>
      </c>
    </row>
    <row r="9" spans="1:15" ht="15" thickBot="1" x14ac:dyDescent="0.35">
      <c r="A9" s="31" t="s">
        <v>94</v>
      </c>
      <c r="B9" s="27" t="s">
        <v>75</v>
      </c>
      <c r="C9" s="27">
        <v>15</v>
      </c>
      <c r="D9" s="27">
        <v>9</v>
      </c>
      <c r="E9" s="27" t="s">
        <v>88</v>
      </c>
      <c r="F9" s="27">
        <v>87</v>
      </c>
      <c r="G9" s="27">
        <v>89</v>
      </c>
      <c r="H9" s="27">
        <v>96</v>
      </c>
      <c r="I9" s="33" t="s">
        <v>95</v>
      </c>
    </row>
    <row r="10" spans="1:15" ht="15" thickBot="1" x14ac:dyDescent="0.35">
      <c r="A10" s="32" t="s">
        <v>81</v>
      </c>
      <c r="B10" s="25" t="s">
        <v>82</v>
      </c>
      <c r="C10" s="25">
        <v>15</v>
      </c>
      <c r="D10" s="25">
        <v>8</v>
      </c>
      <c r="E10" s="25" t="s">
        <v>83</v>
      </c>
      <c r="F10" s="25">
        <v>81</v>
      </c>
      <c r="G10" s="25">
        <v>78</v>
      </c>
      <c r="H10" s="25">
        <v>88</v>
      </c>
      <c r="I10" s="34" t="s">
        <v>84</v>
      </c>
    </row>
    <row r="11" spans="1:15" ht="15" thickBot="1" x14ac:dyDescent="0.35">
      <c r="A11" s="32" t="s">
        <v>74</v>
      </c>
      <c r="B11" s="25" t="s">
        <v>75</v>
      </c>
      <c r="C11" s="25">
        <v>16</v>
      </c>
      <c r="D11" s="25">
        <v>10</v>
      </c>
      <c r="E11" s="25" t="s">
        <v>76</v>
      </c>
      <c r="F11" s="25">
        <v>84</v>
      </c>
      <c r="G11" s="25">
        <v>79</v>
      </c>
      <c r="H11" s="25">
        <v>99</v>
      </c>
      <c r="I11" s="34" t="s">
        <v>77</v>
      </c>
    </row>
    <row r="12" spans="1:15" ht="15" thickBot="1" x14ac:dyDescent="0.35">
      <c r="A12" s="32" t="s">
        <v>87</v>
      </c>
      <c r="B12" s="25" t="s">
        <v>82</v>
      </c>
      <c r="C12" s="25">
        <v>16</v>
      </c>
      <c r="D12" s="25">
        <v>10</v>
      </c>
      <c r="E12" s="25" t="s">
        <v>88</v>
      </c>
      <c r="F12" s="25">
        <v>88</v>
      </c>
      <c r="G12" s="25">
        <v>92</v>
      </c>
      <c r="H12" s="25">
        <v>96</v>
      </c>
      <c r="I12" s="34" t="s">
        <v>89</v>
      </c>
    </row>
    <row r="13" spans="1:15" ht="15" thickBot="1" x14ac:dyDescent="0.35">
      <c r="A13" s="31" t="s">
        <v>102</v>
      </c>
      <c r="B13" s="27" t="s">
        <v>82</v>
      </c>
      <c r="C13" s="27">
        <v>16</v>
      </c>
      <c r="D13" s="27">
        <v>10</v>
      </c>
      <c r="E13" s="27" t="s">
        <v>83</v>
      </c>
      <c r="F13" s="27">
        <v>81</v>
      </c>
      <c r="G13" s="27">
        <v>80</v>
      </c>
      <c r="H13" s="27">
        <v>87</v>
      </c>
      <c r="I13" s="33" t="s">
        <v>103</v>
      </c>
    </row>
    <row r="14" spans="1:15" ht="15" thickBot="1" x14ac:dyDescent="0.35">
      <c r="A14" s="32" t="s">
        <v>104</v>
      </c>
      <c r="B14" s="25" t="s">
        <v>82</v>
      </c>
      <c r="C14" s="25">
        <v>16</v>
      </c>
      <c r="D14" s="25">
        <v>10</v>
      </c>
      <c r="E14" s="25" t="s">
        <v>76</v>
      </c>
      <c r="F14" s="25">
        <v>70</v>
      </c>
      <c r="G14" s="25">
        <v>87</v>
      </c>
      <c r="H14" s="25">
        <v>85</v>
      </c>
      <c r="I14" s="34" t="s">
        <v>105</v>
      </c>
    </row>
    <row r="15" spans="1:15" ht="15" thickBot="1" x14ac:dyDescent="0.35">
      <c r="A15" s="31" t="s">
        <v>90</v>
      </c>
      <c r="B15" s="27" t="s">
        <v>75</v>
      </c>
      <c r="C15" s="27">
        <v>16</v>
      </c>
      <c r="D15" s="27">
        <v>10</v>
      </c>
      <c r="E15" s="27" t="s">
        <v>76</v>
      </c>
      <c r="F15" s="27">
        <v>82</v>
      </c>
      <c r="G15" s="27">
        <v>81</v>
      </c>
      <c r="H15" s="27">
        <v>80</v>
      </c>
      <c r="I15" s="33" t="s">
        <v>91</v>
      </c>
    </row>
    <row r="16" spans="1:15" ht="15" thickBot="1" x14ac:dyDescent="0.35">
      <c r="A16" s="32" t="s">
        <v>100</v>
      </c>
      <c r="B16" s="25" t="s">
        <v>75</v>
      </c>
      <c r="C16" s="25">
        <v>16</v>
      </c>
      <c r="D16" s="25">
        <v>10</v>
      </c>
      <c r="E16" s="25" t="s">
        <v>88</v>
      </c>
      <c r="F16" s="25">
        <v>86</v>
      </c>
      <c r="G16" s="25">
        <v>81</v>
      </c>
      <c r="H16" s="25">
        <v>77</v>
      </c>
      <c r="I16" s="34" t="s">
        <v>101</v>
      </c>
    </row>
    <row r="17" spans="1:9" x14ac:dyDescent="0.3">
      <c r="A17" s="38" t="s">
        <v>96</v>
      </c>
      <c r="B17" s="30" t="s">
        <v>82</v>
      </c>
      <c r="C17" s="30">
        <v>17</v>
      </c>
      <c r="D17" s="30">
        <v>10</v>
      </c>
      <c r="E17" s="30" t="s">
        <v>79</v>
      </c>
      <c r="F17" s="30">
        <v>70</v>
      </c>
      <c r="G17" s="30">
        <v>90</v>
      </c>
      <c r="H17" s="30">
        <v>92</v>
      </c>
      <c r="I17" s="39" t="s">
        <v>97</v>
      </c>
    </row>
  </sheetData>
  <mergeCells count="1">
    <mergeCell ref="A1:O2"/>
  </mergeCells>
  <hyperlinks>
    <hyperlink ref="E3" location="Houses!A1" display="House" xr:uid="{8CCD826C-FBC5-467C-B50D-DFDF861FA39F}"/>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4F989-BE74-4F58-B654-A558FF01E980}">
  <sheetPr>
    <tabColor rgb="FF7030A0"/>
  </sheetPr>
  <dimension ref="A3:B15"/>
  <sheetViews>
    <sheetView tabSelected="1" workbookViewId="0">
      <selection activeCell="I22" sqref="I22"/>
    </sheetView>
  </sheetViews>
  <sheetFormatPr defaultRowHeight="14.4" x14ac:dyDescent="0.3"/>
  <cols>
    <col min="1" max="1" width="12.5546875" bestFit="1" customWidth="1"/>
    <col min="2" max="2" width="15.33203125" bestFit="1" customWidth="1"/>
    <col min="3" max="3" width="17.77734375" bestFit="1" customWidth="1"/>
  </cols>
  <sheetData>
    <row r="3" spans="1:2" x14ac:dyDescent="0.3">
      <c r="A3" s="46" t="s">
        <v>128</v>
      </c>
      <c r="B3" t="s">
        <v>129</v>
      </c>
    </row>
    <row r="4" spans="1:2" x14ac:dyDescent="0.3">
      <c r="A4" s="47" t="s">
        <v>88</v>
      </c>
      <c r="B4" s="48">
        <v>367</v>
      </c>
    </row>
    <row r="5" spans="1:2" x14ac:dyDescent="0.3">
      <c r="A5" s="49" t="s">
        <v>82</v>
      </c>
      <c r="B5" s="48">
        <v>194</v>
      </c>
    </row>
    <row r="6" spans="1:2" x14ac:dyDescent="0.3">
      <c r="A6" s="49" t="s">
        <v>75</v>
      </c>
      <c r="B6" s="48">
        <v>173</v>
      </c>
    </row>
    <row r="7" spans="1:2" x14ac:dyDescent="0.3">
      <c r="A7" s="47" t="s">
        <v>76</v>
      </c>
      <c r="B7" s="48">
        <v>343</v>
      </c>
    </row>
    <row r="8" spans="1:2" x14ac:dyDescent="0.3">
      <c r="A8" s="49" t="s">
        <v>82</v>
      </c>
      <c r="B8" s="48">
        <v>85</v>
      </c>
    </row>
    <row r="9" spans="1:2" x14ac:dyDescent="0.3">
      <c r="A9" s="49" t="s">
        <v>75</v>
      </c>
      <c r="B9" s="48">
        <v>258</v>
      </c>
    </row>
    <row r="10" spans="1:2" x14ac:dyDescent="0.3">
      <c r="A10" s="47" t="s">
        <v>83</v>
      </c>
      <c r="B10" s="48">
        <v>264</v>
      </c>
    </row>
    <row r="11" spans="1:2" x14ac:dyDescent="0.3">
      <c r="A11" s="49" t="s">
        <v>82</v>
      </c>
      <c r="B11" s="48">
        <v>175</v>
      </c>
    </row>
    <row r="12" spans="1:2" x14ac:dyDescent="0.3">
      <c r="A12" s="49" t="s">
        <v>75</v>
      </c>
      <c r="B12" s="48">
        <v>89</v>
      </c>
    </row>
    <row r="13" spans="1:2" x14ac:dyDescent="0.3">
      <c r="A13" s="47" t="s">
        <v>79</v>
      </c>
      <c r="B13" s="48">
        <v>272</v>
      </c>
    </row>
    <row r="14" spans="1:2" x14ac:dyDescent="0.3">
      <c r="A14" s="49" t="s">
        <v>82</v>
      </c>
      <c r="B14" s="48">
        <v>181</v>
      </c>
    </row>
    <row r="15" spans="1:2" x14ac:dyDescent="0.3">
      <c r="A15" s="49" t="s">
        <v>75</v>
      </c>
      <c r="B15" s="48">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Basic Excel</vt:lpstr>
      <vt:lpstr>Basic Operation</vt:lpstr>
      <vt:lpstr>School Data</vt:lpstr>
      <vt:lpstr>Houses</vt:lpstr>
      <vt:lpstr>Drop Down</vt:lpstr>
      <vt:lpstr>Charts</vt:lpstr>
      <vt:lpstr>VLOOKUP</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Tripathi</dc:creator>
  <cp:lastModifiedBy>Ankit Tripathi</cp:lastModifiedBy>
  <dcterms:created xsi:type="dcterms:W3CDTF">2026-10-01T03:53:48Z</dcterms:created>
  <dcterms:modified xsi:type="dcterms:W3CDTF">2026-10-01T06:29:43Z</dcterms:modified>
</cp:coreProperties>
</file>